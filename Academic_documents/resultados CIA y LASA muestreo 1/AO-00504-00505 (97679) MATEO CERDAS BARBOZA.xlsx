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sco-my.sharepoint.com/personal/mcerdasb_cisco_com/Documents/Desktop/tfg acv/Escritos/Keep working on here/resultados CIA y LASA muestreo 1/"/>
    </mc:Choice>
  </mc:AlternateContent>
  <xr:revisionPtr revIDLastSave="16" documentId="13_ncr:1_{5C23B765-ED02-44EE-9F00-A392B3125F75}" xr6:coauthVersionLast="47" xr6:coauthVersionMax="47" xr10:uidLastSave="{B362240E-AC0C-4661-AF81-FE51BEC14535}"/>
  <bookViews>
    <workbookView xWindow="-28920" yWindow="-120" windowWidth="29040" windowHeight="15720" xr2:uid="{1B6EE931-6222-4314-A2A3-76BE53D879E5}"/>
  </bookViews>
  <sheets>
    <sheet name="25-00504 - 25-00505" sheetId="29" r:id="rId1"/>
    <sheet name="Hoja3" sheetId="33" state="hidden" r:id="rId2"/>
    <sheet name="Hoja4" sheetId="34" state="hidden" r:id="rId3"/>
  </sheets>
  <definedNames>
    <definedName name="_xlnm.Print_Area" localSheetId="0">'25-00504 - 25-00505'!$A:$Q</definedName>
    <definedName name="_xlnm.Print_Area" localSheetId="1">Hoja3!$A:$S</definedName>
    <definedName name="_xlnm.Print_Area" localSheetId="2">Hoja4!$A:$Q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29" l="1"/>
  <c r="T24" i="29"/>
  <c r="T23" i="29"/>
  <c r="S24" i="29"/>
  <c r="S23" i="29"/>
</calcChain>
</file>

<file path=xl/sharedStrings.xml><?xml version="1.0" encoding="utf-8"?>
<sst xmlns="http://schemas.openxmlformats.org/spreadsheetml/2006/main" count="131" uniqueCount="51">
  <si>
    <t>USUARIO:</t>
  </si>
  <si>
    <t>RESPONSABLE:</t>
  </si>
  <si>
    <t>TELÉFONO:</t>
  </si>
  <si>
    <t>PROVINCIA:</t>
  </si>
  <si>
    <t>CANTÓN: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</si>
  <si>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</si>
  <si>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</si>
  <si>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</si>
  <si>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</si>
  <si>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</si>
  <si>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</si>
  <si>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</si>
  <si>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</si>
  <si>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</si>
  <si>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</si>
  <si>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ANÁLISIS QUÍMICO DE ABONOS ORGÁNICOS</t>
  </si>
  <si>
    <t/>
  </si>
  <si>
    <t>ID USUARIO</t>
  </si>
  <si>
    <t>IDLAB</t>
  </si>
  <si>
    <r>
      <t>N-NH</t>
    </r>
    <r>
      <rPr>
        <vertAlign val="subscript"/>
        <sz val="10"/>
        <color indexed="9"/>
        <rFont val="Calibri"/>
        <family val="2"/>
      </rPr>
      <t>₄</t>
    </r>
    <r>
      <rPr>
        <vertAlign val="superscript"/>
        <sz val="10"/>
        <color indexed="9"/>
        <rFont val="Calibri"/>
        <family val="2"/>
      </rPr>
      <t>⁺</t>
    </r>
  </si>
  <si>
    <r>
      <t>N-NO</t>
    </r>
    <r>
      <rPr>
        <vertAlign val="subscript"/>
        <sz val="10"/>
        <color indexed="9"/>
        <rFont val="Calibri"/>
        <family val="2"/>
      </rPr>
      <t>₃</t>
    </r>
    <r>
      <rPr>
        <vertAlign val="superscript"/>
        <sz val="10"/>
        <color indexed="9"/>
        <rFont val="Calibri"/>
        <family val="2"/>
      </rPr>
      <t>⁻</t>
    </r>
  </si>
  <si>
    <t>CIUDAD DE LA INVESTIGACIÓN</t>
  </si>
  <si>
    <t>RE-R01 (V6)</t>
  </si>
  <si>
    <t>97679</t>
  </si>
  <si>
    <t>MATEO CERDAS BARBOZA</t>
  </si>
  <si>
    <t>CORREO</t>
  </si>
  <si>
    <t>mateo.cerdas@ucr.ac.cr</t>
  </si>
  <si>
    <t>8766-4333</t>
  </si>
  <si>
    <t>CARTAGO</t>
  </si>
  <si>
    <t>TURRIALBA</t>
  </si>
  <si>
    <t>AO LIQUIDO</t>
  </si>
  <si>
    <t>N-NH4, N-NO3 y N-ureico</t>
  </si>
  <si>
    <t xml:space="preserve">17/11/2025 </t>
  </si>
  <si>
    <t xml:space="preserve">28/11/2025 </t>
  </si>
  <si>
    <t>2</t>
  </si>
  <si>
    <t>N-NH₄⁺</t>
  </si>
  <si>
    <t>N-NO₃⁻</t>
  </si>
  <si>
    <t>LIQ: PURINES 1</t>
  </si>
  <si>
    <t>AO-25-00504</t>
  </si>
  <si>
    <t>LIQ: PURINES 2</t>
  </si>
  <si>
    <t>AO-25-00505</t>
  </si>
  <si>
    <t>-------------------ÚLTIMA LÍNEA-------------------</t>
  </si>
  <si>
    <t>N-ureico</t>
  </si>
  <si>
    <t xml:space="preserve">Información Suministrada por el Usuario: </t>
  </si>
  <si>
    <t>Estiércol bovino</t>
  </si>
  <si>
    <t>mg/L</t>
  </si>
  <si>
    <t>Densidad</t>
  </si>
  <si>
    <t>g/mL</t>
  </si>
  <si>
    <t>N total</t>
  </si>
  <si>
    <t>%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</si>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</sst>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vertAlign val="subscript"/>
      <sz val="10"/>
      <color indexed="9"/>
      <name val="Calibri"/>
      <family val="2"/>
    </font>
    <font>
      <vertAlign val="superscript"/>
      <sz val="10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/>
    </xf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9" applyNumberFormat="0" applyAlignment="0" applyProtection="0"/>
    <xf numFmtId="0" fontId="17" fillId="22" borderId="10" applyNumberFormat="0" applyAlignment="0" applyProtection="0"/>
    <xf numFmtId="0" fontId="18" fillId="0" borderId="11" applyNumberFormat="0" applyFill="0" applyAlignment="0" applyProtection="0"/>
    <xf numFmtId="0" fontId="19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21" fillId="29" borderId="9" applyNumberFormat="0" applyAlignment="0" applyProtection="0"/>
    <xf numFmtId="0" fontId="22" fillId="30" borderId="0" applyNumberFormat="0" applyBorder="0" applyAlignment="0" applyProtection="0"/>
    <xf numFmtId="0" fontId="7" fillId="0" borderId="0">
      <alignment vertical="top"/>
    </xf>
    <xf numFmtId="0" fontId="23" fillId="21" borderId="14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5" applyNumberFormat="0" applyFill="0" applyAlignment="0" applyProtection="0"/>
    <xf numFmtId="0" fontId="20" fillId="0" borderId="16" applyNumberFormat="0" applyFill="0" applyAlignment="0" applyProtection="0"/>
    <xf numFmtId="0" fontId="27" fillId="0" borderId="17" applyNumberFormat="0" applyFill="0" applyAlignment="0" applyProtection="0"/>
    <xf numFmtId="0" fontId="13" fillId="0" borderId="0"/>
    <xf numFmtId="0" fontId="29" fillId="0" borderId="0" applyNumberFormat="0" applyFill="0" applyBorder="0" applyAlignment="0" applyProtection="0"/>
    <xf numFmtId="0" fontId="30" fillId="31" borderId="0" applyNumberFormat="0" applyBorder="0" applyAlignment="0" applyProtection="0"/>
    <xf numFmtId="0" fontId="13" fillId="32" borderId="13" applyNumberFormat="0" applyFont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</cellStyleXfs>
  <cellXfs count="71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6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protection locked="0"/>
    </xf>
    <xf numFmtId="0" fontId="28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49" fontId="1" fillId="0" borderId="0" xfId="0" applyNumberFormat="1" applyFont="1" applyAlignment="1"/>
    <xf numFmtId="0" fontId="3" fillId="0" borderId="0" xfId="0" applyFont="1" applyAlignment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8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7" fillId="0" borderId="6" xfId="0" applyFont="1" applyBorder="1" applyAlignment="1">
      <alignment horizontal="center"/>
    </xf>
    <xf numFmtId="2" fontId="7" fillId="0" borderId="6" xfId="0" applyNumberFormat="1" applyFont="1" applyBorder="1" applyAlignment="1" applyProtection="1">
      <alignment horizontal="center"/>
      <protection locked="0"/>
    </xf>
    <xf numFmtId="0" fontId="7" fillId="0" borderId="18" xfId="0" applyFont="1" applyBorder="1" applyAlignment="1">
      <alignment horizontal="center"/>
    </xf>
    <xf numFmtId="49" fontId="7" fillId="0" borderId="0" xfId="0" applyNumberFormat="1" applyFont="1" applyAlignme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center"/>
      <protection locked="0"/>
    </xf>
    <xf numFmtId="2" fontId="7" fillId="0" borderId="7" xfId="0" applyNumberFormat="1" applyFont="1" applyBorder="1" applyAlignment="1" applyProtection="1">
      <alignment horizontal="center"/>
      <protection locked="0"/>
    </xf>
    <xf numFmtId="2" fontId="7" fillId="0" borderId="3" xfId="0" applyNumberFormat="1" applyFont="1" applyBorder="1" applyAlignment="1" applyProtection="1">
      <alignment horizontal="center"/>
      <protection locked="0"/>
    </xf>
    <xf numFmtId="2" fontId="7" fillId="0" borderId="4" xfId="0" applyNumberFormat="1" applyFont="1" applyBorder="1" applyAlignment="1" applyProtection="1">
      <alignment horizontal="center"/>
      <protection locked="0"/>
    </xf>
    <xf numFmtId="2" fontId="13" fillId="0" borderId="5" xfId="34" applyNumberFormat="1" applyBorder="1" applyAlignment="1">
      <alignment horizontal="center"/>
    </xf>
    <xf numFmtId="2" fontId="13" fillId="0" borderId="8" xfId="34" applyNumberFormat="1" applyBorder="1" applyAlignment="1">
      <alignment horizontal="center"/>
    </xf>
    <xf numFmtId="0" fontId="6" fillId="0" borderId="24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49" fontId="7" fillId="0" borderId="18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5" fillId="0" borderId="7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3" xfId="0" applyFont="1" applyBorder="1" applyAlignment="1" applyProtection="1">
      <alignment horizontal="center"/>
      <protection locked="0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horizontal="left" vertical="top" wrapText="1" readingOrder="1"/>
      <protection locked="0"/>
    </xf>
    <xf numFmtId="49" fontId="7" fillId="0" borderId="0" xfId="0" applyNumberFormat="1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/>
      <protection locked="0"/>
    </xf>
    <xf numFmtId="49" fontId="7" fillId="0" borderId="18" xfId="0" applyNumberFormat="1" applyFont="1" applyBorder="1" applyAlignment="1" applyProtection="1">
      <alignment horizontal="left"/>
      <protection locked="0"/>
    </xf>
    <xf numFmtId="49" fontId="7" fillId="0" borderId="23" xfId="0" applyNumberFormat="1" applyFont="1" applyBorder="1" applyAlignment="1" applyProtection="1">
      <alignment horizontal="left"/>
      <protection locked="0"/>
    </xf>
    <xf numFmtId="49" fontId="9" fillId="0" borderId="3" xfId="0" applyNumberFormat="1" applyFont="1" applyBorder="1" applyAlignment="1" applyProtection="1">
      <alignment vertical="top" wrapText="1" readingOrder="1"/>
      <protection locked="0"/>
    </xf>
    <xf numFmtId="49" fontId="9" fillId="0" borderId="4" xfId="0" applyNumberFormat="1" applyFont="1" applyBorder="1" applyAlignment="1" applyProtection="1">
      <alignment vertical="top" wrapText="1" readingOrder="1"/>
      <protection locked="0"/>
    </xf>
    <xf numFmtId="49" fontId="9" fillId="0" borderId="5" xfId="0" applyNumberFormat="1" applyFont="1" applyBorder="1" applyAlignment="1" applyProtection="1">
      <alignment vertical="top" wrapText="1" readingOrder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/>
      <protection locked="0"/>
    </xf>
    <xf numFmtId="49" fontId="8" fillId="0" borderId="19" xfId="0" applyNumberFormat="1" applyFont="1" applyBorder="1" applyAlignment="1" applyProtection="1">
      <alignment horizontal="center"/>
      <protection locked="0"/>
    </xf>
    <xf numFmtId="49" fontId="8" fillId="0" borderId="21" xfId="0" applyNumberFormat="1" applyFont="1" applyBorder="1" applyAlignment="1" applyProtection="1">
      <alignment horizontal="center"/>
      <protection locked="0"/>
    </xf>
    <xf numFmtId="49" fontId="8" fillId="0" borderId="20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left"/>
      <protection locked="0"/>
    </xf>
    <xf numFmtId="49" fontId="7" fillId="0" borderId="7" xfId="0" applyNumberFormat="1" applyFont="1" applyBorder="1" applyAlignment="1" applyProtection="1">
      <alignment horizontal="left"/>
      <protection locked="0"/>
    </xf>
    <xf numFmtId="49" fontId="7" fillId="0" borderId="8" xfId="0" applyNumberFormat="1" applyFon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protection locked="0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 2" xfId="38" xr:uid="{A17BDC29-8B5F-4B91-B60F-E14463158E53}"/>
    <cellStyle name="60% - Énfasis2 2" xfId="39" xr:uid="{739843E0-D95E-4328-A91E-105635852EF2}"/>
    <cellStyle name="60% - Énfasis3 2" xfId="40" xr:uid="{914FC9E1-FC39-400B-A046-17AC03602307}"/>
    <cellStyle name="60% - Énfasis4 2" xfId="41" xr:uid="{462440D7-398F-4926-BAE3-95718D15BD8D}"/>
    <cellStyle name="60% - Énfasis5 2" xfId="42" xr:uid="{671CEC70-5C79-4E99-9854-79135DA28AA2}"/>
    <cellStyle name="60% - Énfasis6 2" xfId="43" xr:uid="{E198E935-72AB-4D02-A3DC-EA19EBD13DF9}"/>
    <cellStyle name="Bueno" xfId="13" builtinId="26" customBuiltin="1"/>
    <cellStyle name="Cálculo" xfId="14" builtinId="22" customBuiltin="1"/>
    <cellStyle name="Celda de comprobación" xfId="15" builtinId="23" customBuiltin="1"/>
    <cellStyle name="Celda vinculada" xfId="16" builtinId="24" customBuiltin="1"/>
    <cellStyle name="Encabezado 1" xfId="17" builtinId="16" customBuiltin="1"/>
    <cellStyle name="Encabezado 4" xfId="1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25" builtinId="20" customBuiltin="1"/>
    <cellStyle name="Incorrecto" xfId="26" builtinId="27" customBuiltin="1"/>
    <cellStyle name="Neutral 2" xfId="36" xr:uid="{2CCF691B-23DB-44BC-8BC6-6FA436C77EFE}"/>
    <cellStyle name="Normal" xfId="0" builtinId="0"/>
    <cellStyle name="Normal 2" xfId="27" xr:uid="{23C991C5-88D8-4F59-BCFF-48362E9775A1}"/>
    <cellStyle name="Normal 3" xfId="34" xr:uid="{0235D4B7-F761-473A-8B64-AC3E768751A3}"/>
    <cellStyle name="Notas 2" xfId="37" xr:uid="{E8E1278C-9FB0-4D6F-897A-B3BDB32C6DFC}"/>
    <cellStyle name="Salida" xfId="28" builtinId="21" customBuiltin="1"/>
    <cellStyle name="Texto de advertencia" xfId="29" builtinId="11" customBuiltin="1"/>
    <cellStyle name="Texto explicativo" xfId="30" builtinId="53" customBuiltin="1"/>
    <cellStyle name="Título 2" xfId="31" builtinId="17" customBuiltin="1"/>
    <cellStyle name="Título 3" xfId="32" builtinId="18" customBuiltin="1"/>
    <cellStyle name="Título 4" xfId="35" xr:uid="{E77ED108-27CE-4A7B-AD24-87AB352A7AB2}"/>
    <cellStyle name="Total" xfId="3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43</xdr:row>
      <xdr:rowOff>0</xdr:rowOff>
    </xdr:from>
    <xdr:to>
      <xdr:col>12</xdr:col>
      <xdr:colOff>146696</xdr:colOff>
      <xdr:row>47</xdr:row>
      <xdr:rowOff>11430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6606ABFB-F4A5-5ACF-F899-7FC081A90F0C}"/>
            </a:ext>
          </a:extLst>
        </xdr:cNvPr>
        <xdr:cNvSpPr txBox="1">
          <a:spLocks noChangeArrowheads="1"/>
        </xdr:cNvSpPr>
      </xdr:nvSpPr>
      <xdr:spPr bwMode="auto">
        <a:xfrm>
          <a:off x="1" y="8448675"/>
          <a:ext cx="5629274" cy="657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/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 se deben multiplicar por la densidad reportada para transformarlos a %masa/volumen. Se aplica el mismo procedimiento para expresar los valores reportados en mg/kg como mg/L.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104775</xdr:colOff>
      <xdr:row>0</xdr:row>
      <xdr:rowOff>104775</xdr:rowOff>
    </xdr:from>
    <xdr:to>
      <xdr:col>16</xdr:col>
      <xdr:colOff>314325</xdr:colOff>
      <xdr:row>1</xdr:row>
      <xdr:rowOff>9525</xdr:rowOff>
    </xdr:to>
    <xdr:pic>
      <xdr:nvPicPr>
        <xdr:cNvPr id="27816" name="11 Imagen" descr="CIA Identificador compuesto.png">
          <a:extLst>
            <a:ext uri="{FF2B5EF4-FFF2-40B4-BE49-F238E27FC236}">
              <a16:creationId xmlns:a16="http://schemas.microsoft.com/office/drawing/2014/main" id="{33699E89-978A-5AFE-6435-A963139F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048500" y="1047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704850</xdr:colOff>
      <xdr:row>0</xdr:row>
      <xdr:rowOff>790575</xdr:rowOff>
    </xdr:to>
    <xdr:pic>
      <xdr:nvPicPr>
        <xdr:cNvPr id="27817" name="12 Imagen">
          <a:extLst>
            <a:ext uri="{FF2B5EF4-FFF2-40B4-BE49-F238E27FC236}">
              <a16:creationId xmlns:a16="http://schemas.microsoft.com/office/drawing/2014/main" id="{2F4F1243-2DCC-7DDC-62EA-22953BEE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37</xdr:row>
      <xdr:rowOff>57150</xdr:rowOff>
    </xdr:from>
    <xdr:to>
      <xdr:col>12</xdr:col>
      <xdr:colOff>295275</xdr:colOff>
      <xdr:row>43</xdr:row>
      <xdr:rowOff>66675</xdr:rowOff>
    </xdr:to>
    <xdr:grpSp>
      <xdr:nvGrpSpPr>
        <xdr:cNvPr id="27818" name="Grupo 3">
          <a:extLst>
            <a:ext uri="{FF2B5EF4-FFF2-40B4-BE49-F238E27FC236}">
              <a16:creationId xmlns:a16="http://schemas.microsoft.com/office/drawing/2014/main" id="{33F93624-3136-4F95-AC86-F812C59E7C88}"/>
            </a:ext>
          </a:extLst>
        </xdr:cNvPr>
        <xdr:cNvGrpSpPr>
          <a:grpSpLocks/>
        </xdr:cNvGrpSpPr>
      </xdr:nvGrpSpPr>
      <xdr:grpSpPr bwMode="auto">
        <a:xfrm>
          <a:off x="1209675" y="7296150"/>
          <a:ext cx="6369050" cy="1054100"/>
          <a:chOff x="2708412" y="7699679"/>
          <a:chExt cx="4030159" cy="1009834"/>
        </a:xfrm>
      </xdr:grpSpPr>
      <xdr:pic>
        <xdr:nvPicPr>
          <xdr:cNvPr id="27822" name="Imagen 4">
            <a:extLst>
              <a:ext uri="{FF2B5EF4-FFF2-40B4-BE49-F238E27FC236}">
                <a16:creationId xmlns:a16="http://schemas.microsoft.com/office/drawing/2014/main" id="{3FF67C7D-B96B-D945-6088-202603D1F0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7823" name="Picture 47">
            <a:extLst>
              <a:ext uri="{FF2B5EF4-FFF2-40B4-BE49-F238E27FC236}">
                <a16:creationId xmlns:a16="http://schemas.microsoft.com/office/drawing/2014/main" id="{41A6331D-2CF6-DBDC-CA11-C6A536E3FA6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16482917-5F1E-5C51-0EF3-EAC325033255}"/>
              </a:ext>
            </a:extLst>
          </xdr:cNvPr>
          <xdr:cNvSpPr txBox="1"/>
        </xdr:nvSpPr>
        <xdr:spPr bwMode="auto">
          <a:xfrm>
            <a:off x="2708412" y="8131064"/>
            <a:ext cx="165020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BB2A2D33-1167-DE78-A251-649EA8C33530}"/>
              </a:ext>
            </a:extLst>
          </xdr:cNvPr>
          <xdr:cNvSpPr txBox="1"/>
        </xdr:nvSpPr>
        <xdr:spPr bwMode="auto">
          <a:xfrm>
            <a:off x="4134723" y="8121260"/>
            <a:ext cx="260384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285750</xdr:colOff>
      <xdr:row>37</xdr:row>
      <xdr:rowOff>152400</xdr:rowOff>
    </xdr:from>
    <xdr:to>
      <xdr:col>16</xdr:col>
      <xdr:colOff>342900</xdr:colOff>
      <xdr:row>47</xdr:row>
      <xdr:rowOff>19050</xdr:rowOff>
    </xdr:to>
    <xdr:grpSp>
      <xdr:nvGrpSpPr>
        <xdr:cNvPr id="27819" name="Grupo 2">
          <a:extLst>
            <a:ext uri="{FF2B5EF4-FFF2-40B4-BE49-F238E27FC236}">
              <a16:creationId xmlns:a16="http://schemas.microsoft.com/office/drawing/2014/main" id="{632EC489-9E9D-7090-A1CB-3B5D9DAC4652}"/>
            </a:ext>
          </a:extLst>
        </xdr:cNvPr>
        <xdr:cNvGrpSpPr>
          <a:grpSpLocks/>
        </xdr:cNvGrpSpPr>
      </xdr:nvGrpSpPr>
      <xdr:grpSpPr bwMode="auto">
        <a:xfrm>
          <a:off x="7572375" y="7391400"/>
          <a:ext cx="1581150" cy="1562100"/>
          <a:chOff x="6448425" y="7439025"/>
          <a:chExt cx="1388756" cy="1373290"/>
        </a:xfrm>
      </xdr:grpSpPr>
      <xdr:pic>
        <xdr:nvPicPr>
          <xdr:cNvPr id="27820" name="Imagen 3">
            <a:extLst>
              <a:ext uri="{FF2B5EF4-FFF2-40B4-BE49-F238E27FC236}">
                <a16:creationId xmlns:a16="http://schemas.microsoft.com/office/drawing/2014/main" id="{61F8F3FD-C158-AB21-E08E-32E3B7503D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F8E5C794-02B8-0054-22DD-0AF0595C633F}"/>
              </a:ext>
            </a:extLst>
          </xdr:cNvPr>
          <xdr:cNvSpPr txBox="1"/>
        </xdr:nvSpPr>
        <xdr:spPr>
          <a:xfrm>
            <a:off x="6536321" y="8636252"/>
            <a:ext cx="1300860" cy="1760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161924</xdr:rowOff>
    </xdr:from>
    <xdr:to>
      <xdr:col>13</xdr:col>
      <xdr:colOff>209550</xdr:colOff>
      <xdr:row>48</xdr:row>
      <xdr:rowOff>39953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E67C82C-0DD3-C773-08C4-B79676080A70}"/>
            </a:ext>
          </a:extLst>
        </xdr:cNvPr>
        <xdr:cNvSpPr txBox="1">
          <a:spLocks noChangeArrowheads="1"/>
        </xdr:cNvSpPr>
      </xdr:nvSpPr>
      <xdr:spPr bwMode="auto">
        <a:xfrm>
          <a:off x="0" y="8448674"/>
          <a:ext cx="5286375" cy="6858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>
            <a:lnSpc>
              <a:spcPts val="700"/>
            </a:lnSpc>
          </a:pPr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 se deben multiplicar por la densidad reportada para transformarlos a %masa/volumen. Se aplica el mismo procedimiento para expresar los valores reportados en mg/kg como mg/L.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266700</xdr:colOff>
      <xdr:row>1</xdr:row>
      <xdr:rowOff>85725</xdr:rowOff>
    </xdr:to>
    <xdr:pic>
      <xdr:nvPicPr>
        <xdr:cNvPr id="32792" name="11 Imagen" descr="CIA Identificador compuesto.png">
          <a:extLst>
            <a:ext uri="{FF2B5EF4-FFF2-40B4-BE49-F238E27FC236}">
              <a16:creationId xmlns:a16="http://schemas.microsoft.com/office/drawing/2014/main" id="{A086DC09-5A8F-5DC7-A749-549C0AF7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4953000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552450</xdr:colOff>
      <xdr:row>0</xdr:row>
      <xdr:rowOff>790575</xdr:rowOff>
    </xdr:to>
    <xdr:pic>
      <xdr:nvPicPr>
        <xdr:cNvPr id="32793" name="12 Imagen">
          <a:extLst>
            <a:ext uri="{FF2B5EF4-FFF2-40B4-BE49-F238E27FC236}">
              <a16:creationId xmlns:a16="http://schemas.microsoft.com/office/drawing/2014/main" id="{9F004639-18B9-3F52-E8BC-CBE1009C7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66675</xdr:colOff>
      <xdr:row>38</xdr:row>
      <xdr:rowOff>85725</xdr:rowOff>
    </xdr:from>
    <xdr:to>
      <xdr:col>13</xdr:col>
      <xdr:colOff>85725</xdr:colOff>
      <xdr:row>44</xdr:row>
      <xdr:rowOff>95250</xdr:rowOff>
    </xdr:to>
    <xdr:grpSp>
      <xdr:nvGrpSpPr>
        <xdr:cNvPr id="32794" name="Grupo 3">
          <a:extLst>
            <a:ext uri="{FF2B5EF4-FFF2-40B4-BE49-F238E27FC236}">
              <a16:creationId xmlns:a16="http://schemas.microsoft.com/office/drawing/2014/main" id="{347E31FF-A274-B828-E583-3F1C18125552}"/>
            </a:ext>
          </a:extLst>
        </xdr:cNvPr>
        <xdr:cNvGrpSpPr>
          <a:grpSpLocks/>
        </xdr:cNvGrpSpPr>
      </xdr:nvGrpSpPr>
      <xdr:grpSpPr bwMode="auto">
        <a:xfrm>
          <a:off x="1511300" y="7569200"/>
          <a:ext cx="3933825" cy="984250"/>
          <a:chOff x="2708412" y="7699679"/>
          <a:chExt cx="4030159" cy="1009834"/>
        </a:xfrm>
      </xdr:grpSpPr>
      <xdr:pic>
        <xdr:nvPicPr>
          <xdr:cNvPr id="32798" name="Imagen 4">
            <a:extLst>
              <a:ext uri="{FF2B5EF4-FFF2-40B4-BE49-F238E27FC236}">
                <a16:creationId xmlns:a16="http://schemas.microsoft.com/office/drawing/2014/main" id="{B1033664-24BE-6C32-36ED-AAFB9EA0A5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799" name="Picture 47">
            <a:extLst>
              <a:ext uri="{FF2B5EF4-FFF2-40B4-BE49-F238E27FC236}">
                <a16:creationId xmlns:a16="http://schemas.microsoft.com/office/drawing/2014/main" id="{218E2048-8587-3E94-28FE-0A4302FBF6E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577C7D73-B9E0-5B68-FAF1-48E38AA560E4}"/>
              </a:ext>
            </a:extLst>
          </xdr:cNvPr>
          <xdr:cNvSpPr txBox="1"/>
        </xdr:nvSpPr>
        <xdr:spPr bwMode="auto">
          <a:xfrm>
            <a:off x="2708412" y="8131064"/>
            <a:ext cx="165339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>
              <a:lnSpc>
                <a:spcPts val="900"/>
              </a:lnSpc>
            </a:pPr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>
              <a:lnSpc>
                <a:spcPts val="900"/>
              </a:lnSpc>
            </a:pPr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>
              <a:lnSpc>
                <a:spcPts val="900"/>
              </a:lnSpc>
            </a:pPr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484DB572-320E-86FC-F334-7FAD3FC93B00}"/>
              </a:ext>
            </a:extLst>
          </xdr:cNvPr>
          <xdr:cNvSpPr txBox="1"/>
        </xdr:nvSpPr>
        <xdr:spPr bwMode="auto">
          <a:xfrm>
            <a:off x="4134468" y="8121260"/>
            <a:ext cx="2604103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13</xdr:col>
      <xdr:colOff>266700</xdr:colOff>
      <xdr:row>38</xdr:row>
      <xdr:rowOff>133350</xdr:rowOff>
    </xdr:from>
    <xdr:to>
      <xdr:col>18</xdr:col>
      <xdr:colOff>9525</xdr:colOff>
      <xdr:row>48</xdr:row>
      <xdr:rowOff>76200</xdr:rowOff>
    </xdr:to>
    <xdr:grpSp>
      <xdr:nvGrpSpPr>
        <xdr:cNvPr id="32795" name="Grupo 9">
          <a:extLst>
            <a:ext uri="{FF2B5EF4-FFF2-40B4-BE49-F238E27FC236}">
              <a16:creationId xmlns:a16="http://schemas.microsoft.com/office/drawing/2014/main" id="{7996FFBA-3736-8DAF-8CAB-C819A763CA7C}"/>
            </a:ext>
          </a:extLst>
        </xdr:cNvPr>
        <xdr:cNvGrpSpPr>
          <a:grpSpLocks/>
        </xdr:cNvGrpSpPr>
      </xdr:nvGrpSpPr>
      <xdr:grpSpPr bwMode="auto">
        <a:xfrm>
          <a:off x="5629275" y="7620000"/>
          <a:ext cx="1597025" cy="1562100"/>
          <a:chOff x="6448425" y="7439025"/>
          <a:chExt cx="1303650" cy="1364519"/>
        </a:xfrm>
      </xdr:grpSpPr>
      <xdr:pic>
        <xdr:nvPicPr>
          <xdr:cNvPr id="32796" name="Imagen 10">
            <a:extLst>
              <a:ext uri="{FF2B5EF4-FFF2-40B4-BE49-F238E27FC236}">
                <a16:creationId xmlns:a16="http://schemas.microsoft.com/office/drawing/2014/main" id="{6A198AF9-7999-18D7-C72F-2F13EC8997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6F2D492B-0040-D4A8-AD4C-59DC604056F0}"/>
              </a:ext>
            </a:extLst>
          </xdr:cNvPr>
          <xdr:cNvSpPr txBox="1"/>
        </xdr:nvSpPr>
        <xdr:spPr>
          <a:xfrm>
            <a:off x="6530934" y="8637139"/>
            <a:ext cx="1221141" cy="166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44</xdr:row>
      <xdr:rowOff>0</xdr:rowOff>
    </xdr:from>
    <xdr:to>
      <xdr:col>12</xdr:col>
      <xdr:colOff>146696</xdr:colOff>
      <xdr:row>48</xdr:row>
      <xdr:rowOff>11430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161BC292-1341-8131-1D3B-428197567F56}"/>
            </a:ext>
          </a:extLst>
        </xdr:cNvPr>
        <xdr:cNvSpPr txBox="1">
          <a:spLocks noChangeArrowheads="1"/>
        </xdr:cNvSpPr>
      </xdr:nvSpPr>
      <xdr:spPr bwMode="auto">
        <a:xfrm>
          <a:off x="1" y="8448675"/>
          <a:ext cx="5629274" cy="657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/>
          <a:r>
            <a:rPr lang="es-CR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Los valores expresados en %masa se deben multiplicar por la densidad reportada para transformarlos a %masa/volumen. Se aplica el mismo procedimiento para expresar los valores reportados en mg/kg como mg/L.  2. El muestreo es responsabilidad del usuario. 3. Los resultados se refieren únicamente a las muestras ensayadas. 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28575</xdr:colOff>
      <xdr:row>1</xdr:row>
      <xdr:rowOff>85725</xdr:rowOff>
    </xdr:to>
    <xdr:pic>
      <xdr:nvPicPr>
        <xdr:cNvPr id="33816" name="11 Imagen" descr="CIA Identificador compuesto.png">
          <a:extLst>
            <a:ext uri="{FF2B5EF4-FFF2-40B4-BE49-F238E27FC236}">
              <a16:creationId xmlns:a16="http://schemas.microsoft.com/office/drawing/2014/main" id="{A6D84C76-D31E-37CF-185E-E417486EF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667375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704850</xdr:colOff>
      <xdr:row>0</xdr:row>
      <xdr:rowOff>790575</xdr:rowOff>
    </xdr:to>
    <xdr:pic>
      <xdr:nvPicPr>
        <xdr:cNvPr id="33817" name="12 Imagen">
          <a:extLst>
            <a:ext uri="{FF2B5EF4-FFF2-40B4-BE49-F238E27FC236}">
              <a16:creationId xmlns:a16="http://schemas.microsoft.com/office/drawing/2014/main" id="{BA884C3F-823B-CE46-E74F-2A6548CA6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38</xdr:row>
      <xdr:rowOff>57150</xdr:rowOff>
    </xdr:from>
    <xdr:to>
      <xdr:col>12</xdr:col>
      <xdr:colOff>295275</xdr:colOff>
      <xdr:row>44</xdr:row>
      <xdr:rowOff>66675</xdr:rowOff>
    </xdr:to>
    <xdr:grpSp>
      <xdr:nvGrpSpPr>
        <xdr:cNvPr id="33818" name="Grupo 3">
          <a:extLst>
            <a:ext uri="{FF2B5EF4-FFF2-40B4-BE49-F238E27FC236}">
              <a16:creationId xmlns:a16="http://schemas.microsoft.com/office/drawing/2014/main" id="{AEA0FFC4-2444-BCA7-1467-AB0DA23A2052}"/>
            </a:ext>
          </a:extLst>
        </xdr:cNvPr>
        <xdr:cNvGrpSpPr>
          <a:grpSpLocks/>
        </xdr:cNvGrpSpPr>
      </xdr:nvGrpSpPr>
      <xdr:grpSpPr bwMode="auto">
        <a:xfrm>
          <a:off x="1209675" y="7543800"/>
          <a:ext cx="4845050" cy="977900"/>
          <a:chOff x="2708412" y="7699679"/>
          <a:chExt cx="4030159" cy="1009834"/>
        </a:xfrm>
      </xdr:grpSpPr>
      <xdr:pic>
        <xdr:nvPicPr>
          <xdr:cNvPr id="33822" name="Imagen 4">
            <a:extLst>
              <a:ext uri="{FF2B5EF4-FFF2-40B4-BE49-F238E27FC236}">
                <a16:creationId xmlns:a16="http://schemas.microsoft.com/office/drawing/2014/main" id="{30337753-2D2B-7E91-C9B5-18A4D44C15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3823" name="Picture 47">
            <a:extLst>
              <a:ext uri="{FF2B5EF4-FFF2-40B4-BE49-F238E27FC236}">
                <a16:creationId xmlns:a16="http://schemas.microsoft.com/office/drawing/2014/main" id="{198DAE49-1822-0ED8-1F89-B6DB13E8EE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D3F61DF4-6AF4-F01F-D8ED-CBF4002F15A0}"/>
              </a:ext>
            </a:extLst>
          </xdr:cNvPr>
          <xdr:cNvSpPr txBox="1"/>
        </xdr:nvSpPr>
        <xdr:spPr bwMode="auto">
          <a:xfrm>
            <a:off x="2708412" y="8131064"/>
            <a:ext cx="1650209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C133095A-F03D-DF64-4735-D54C911C8546}"/>
              </a:ext>
            </a:extLst>
          </xdr:cNvPr>
          <xdr:cNvSpPr txBox="1"/>
        </xdr:nvSpPr>
        <xdr:spPr bwMode="auto">
          <a:xfrm>
            <a:off x="4134723" y="8121260"/>
            <a:ext cx="260384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285750</xdr:colOff>
      <xdr:row>38</xdr:row>
      <xdr:rowOff>152400</xdr:rowOff>
    </xdr:from>
    <xdr:to>
      <xdr:col>16</xdr:col>
      <xdr:colOff>342900</xdr:colOff>
      <xdr:row>48</xdr:row>
      <xdr:rowOff>19050</xdr:rowOff>
    </xdr:to>
    <xdr:grpSp>
      <xdr:nvGrpSpPr>
        <xdr:cNvPr id="33819" name="Grupo 9">
          <a:extLst>
            <a:ext uri="{FF2B5EF4-FFF2-40B4-BE49-F238E27FC236}">
              <a16:creationId xmlns:a16="http://schemas.microsoft.com/office/drawing/2014/main" id="{1DA52EE9-0417-1FF9-E7E0-D27D2BBB9A4B}"/>
            </a:ext>
          </a:extLst>
        </xdr:cNvPr>
        <xdr:cNvGrpSpPr>
          <a:grpSpLocks/>
        </xdr:cNvGrpSpPr>
      </xdr:nvGrpSpPr>
      <xdr:grpSpPr bwMode="auto">
        <a:xfrm>
          <a:off x="6048375" y="7639050"/>
          <a:ext cx="1581150" cy="1485900"/>
          <a:chOff x="6448425" y="7439025"/>
          <a:chExt cx="1388756" cy="1373290"/>
        </a:xfrm>
      </xdr:grpSpPr>
      <xdr:pic>
        <xdr:nvPicPr>
          <xdr:cNvPr id="33820" name="Imagen 10">
            <a:extLst>
              <a:ext uri="{FF2B5EF4-FFF2-40B4-BE49-F238E27FC236}">
                <a16:creationId xmlns:a16="http://schemas.microsoft.com/office/drawing/2014/main" id="{3C1B0E55-D711-22F9-450F-1AE3C4ED17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A5012214-6D96-B6B0-4878-F0699B39C594}"/>
              </a:ext>
            </a:extLst>
          </xdr:cNvPr>
          <xdr:cNvSpPr txBox="1"/>
        </xdr:nvSpPr>
        <xdr:spPr>
          <a:xfrm>
            <a:off x="6536321" y="8636252"/>
            <a:ext cx="1300860" cy="1760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F0B1-5C5B-4012-99A0-A0DF70334ACD}">
  <sheetPr>
    <pageSetUpPr fitToPage="1"/>
  </sheetPr>
  <dimension ref="A1:X59"/>
  <sheetViews>
    <sheetView tabSelected="1" zoomScaleNormal="100" workbookViewId="0">
      <selection activeCell="U23" sqref="U23"/>
    </sheetView>
  </sheetViews>
  <sheetFormatPr baseColWidth="10" defaultColWidth="11.453125" defaultRowHeight="12.5" x14ac:dyDescent="0.25"/>
  <cols>
    <col min="1" max="1" width="17" style="1" customWidth="1"/>
    <col min="2" max="2" width="1.54296875" style="1" customWidth="1"/>
    <col min="3" max="3" width="1.7265625" style="1" customWidth="1"/>
    <col min="4" max="4" width="11.7265625" style="2" customWidth="1"/>
    <col min="5" max="5" width="12.453125" style="1" customWidth="1"/>
    <col min="6" max="6" width="13.7265625" style="1" customWidth="1"/>
    <col min="7" max="7" width="12" style="1" customWidth="1"/>
    <col min="8" max="8" width="12.26953125" style="1" customWidth="1"/>
    <col min="9" max="17" width="5.453125" style="1" customWidth="1"/>
    <col min="18" max="16384" width="11.453125" style="1"/>
  </cols>
  <sheetData>
    <row r="1" spans="1:24" ht="64.5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"/>
      <c r="S1" s="4"/>
      <c r="T1" s="4"/>
      <c r="U1" s="4"/>
      <c r="V1" s="4"/>
    </row>
    <row r="2" spans="1:24" ht="13" x14ac:dyDescent="0.3">
      <c r="A2" s="45" t="s">
        <v>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"/>
      <c r="S2" s="4"/>
      <c r="T2" s="4"/>
      <c r="U2" s="4"/>
      <c r="V2" s="4"/>
    </row>
    <row r="3" spans="1:24" ht="13" x14ac:dyDescent="0.3">
      <c r="A3" s="45" t="s">
        <v>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"/>
      <c r="S3" s="4"/>
      <c r="T3" s="4"/>
      <c r="U3" s="4"/>
      <c r="V3" s="4"/>
    </row>
    <row r="4" spans="1:24" ht="20" x14ac:dyDescent="0.4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"/>
      <c r="S4" s="4"/>
      <c r="T4" s="4"/>
      <c r="U4" s="4"/>
      <c r="V4" s="4"/>
    </row>
    <row r="5" spans="1:24" ht="17.25" customHeight="1" x14ac:dyDescent="0.35">
      <c r="A5" s="49" t="s">
        <v>22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"/>
      <c r="S5" s="4"/>
      <c r="T5" s="4"/>
      <c r="U5" s="4"/>
      <c r="V5" s="4"/>
    </row>
    <row r="6" spans="1:24" ht="2.2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</row>
    <row r="7" spans="1:24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20.149999999999999" customHeight="1" x14ac:dyDescent="0.4">
      <c r="A8" s="3" t="s">
        <v>8</v>
      </c>
      <c r="B8" s="50" t="s">
        <v>23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4"/>
      <c r="S8" s="4"/>
      <c r="T8" s="4"/>
      <c r="U8" s="4"/>
      <c r="V8" s="4"/>
      <c r="W8" s="4"/>
      <c r="X8" s="4"/>
    </row>
    <row r="9" spans="1:24" ht="12.75" customHeight="1" x14ac:dyDescent="0.25">
      <c r="A9" s="5" t="s">
        <v>0</v>
      </c>
      <c r="B9" s="51" t="s">
        <v>24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4"/>
      <c r="S9" s="4"/>
      <c r="T9" s="4"/>
      <c r="U9" s="4"/>
      <c r="V9" s="4"/>
      <c r="W9" s="4"/>
      <c r="X9" s="4"/>
    </row>
    <row r="10" spans="1:24" x14ac:dyDescent="0.25">
      <c r="A10" s="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4"/>
      <c r="S10" s="4"/>
      <c r="T10" s="4"/>
      <c r="U10" s="4"/>
      <c r="V10" s="4"/>
      <c r="W10" s="4"/>
      <c r="X10" s="4"/>
    </row>
    <row r="11" spans="1:24" ht="12.75" customHeight="1" x14ac:dyDescent="0.25">
      <c r="A11" s="5" t="s">
        <v>1</v>
      </c>
      <c r="B11" s="53" t="s">
        <v>24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"/>
      <c r="S11" s="4"/>
      <c r="T11" s="4"/>
      <c r="U11" s="4"/>
      <c r="V11" s="4"/>
      <c r="W11" s="4"/>
      <c r="X11" s="4"/>
    </row>
    <row r="12" spans="1:24" ht="12.75" customHeight="1" x14ac:dyDescent="0.25">
      <c r="A12" s="17" t="s">
        <v>25</v>
      </c>
      <c r="B12" s="54" t="s">
        <v>26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4"/>
      <c r="S12" s="4"/>
      <c r="T12" s="4"/>
      <c r="U12" s="4"/>
      <c r="V12" s="4"/>
      <c r="W12" s="4"/>
      <c r="X12" s="4"/>
    </row>
    <row r="13" spans="1:24" ht="12.75" customHeight="1" x14ac:dyDescent="0.25">
      <c r="A13" s="5" t="s">
        <v>2</v>
      </c>
      <c r="B13" s="53" t="s">
        <v>27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"/>
      <c r="S13" s="4"/>
      <c r="T13" s="4"/>
      <c r="U13" s="4"/>
      <c r="V13" s="4"/>
      <c r="W13" s="4"/>
      <c r="X13" s="4"/>
    </row>
    <row r="14" spans="1:24" ht="12.75" customHeight="1" x14ac:dyDescent="0.25">
      <c r="A14" s="5"/>
      <c r="B14" s="53"/>
      <c r="C14" s="53"/>
      <c r="D14" s="53"/>
      <c r="E14" s="53"/>
      <c r="F14" s="53"/>
      <c r="G14" s="53"/>
      <c r="H14" s="53"/>
      <c r="I14" s="53"/>
      <c r="J14" s="55" t="s">
        <v>9</v>
      </c>
      <c r="K14" s="55"/>
      <c r="L14" s="55"/>
      <c r="M14" s="55"/>
      <c r="N14" s="51" t="s">
        <v>31</v>
      </c>
      <c r="O14" s="52"/>
      <c r="P14" s="52"/>
      <c r="Q14" s="52"/>
      <c r="R14" s="4"/>
      <c r="S14" s="4"/>
      <c r="T14" s="4"/>
      <c r="U14" s="4"/>
      <c r="V14" s="4"/>
      <c r="W14" s="4"/>
      <c r="X14" s="4"/>
    </row>
    <row r="15" spans="1:24" ht="12.75" customHeight="1" x14ac:dyDescent="0.25">
      <c r="A15" s="5" t="s">
        <v>3</v>
      </c>
      <c r="B15" s="53" t="s">
        <v>28</v>
      </c>
      <c r="C15" s="53"/>
      <c r="D15" s="53"/>
      <c r="E15" s="53"/>
      <c r="F15" s="53"/>
      <c r="G15" s="53"/>
      <c r="H15" s="53"/>
      <c r="I15" s="53"/>
      <c r="J15" s="55" t="s">
        <v>12</v>
      </c>
      <c r="K15" s="55"/>
      <c r="L15" s="55"/>
      <c r="M15" s="55"/>
      <c r="N15" s="51" t="s">
        <v>32</v>
      </c>
      <c r="O15" s="52"/>
      <c r="P15" s="52"/>
      <c r="Q15" s="52"/>
      <c r="R15" s="4"/>
      <c r="S15" s="4"/>
      <c r="T15" s="4"/>
      <c r="U15" s="4"/>
      <c r="V15" s="4"/>
      <c r="W15" s="4"/>
      <c r="X15" s="4"/>
    </row>
    <row r="16" spans="1:24" ht="12.75" customHeight="1" x14ac:dyDescent="0.25">
      <c r="A16" s="5" t="s">
        <v>4</v>
      </c>
      <c r="B16" s="53" t="s">
        <v>29</v>
      </c>
      <c r="C16" s="53"/>
      <c r="D16" s="53"/>
      <c r="E16" s="53"/>
      <c r="F16" s="53"/>
      <c r="G16" s="53"/>
      <c r="H16" s="53"/>
      <c r="I16" s="53"/>
      <c r="J16" s="55" t="s">
        <v>10</v>
      </c>
      <c r="K16" s="55"/>
      <c r="L16" s="55"/>
      <c r="M16" s="55"/>
      <c r="N16" s="51" t="s">
        <v>33</v>
      </c>
      <c r="O16" s="52"/>
      <c r="P16" s="52"/>
      <c r="Q16" s="52"/>
      <c r="R16" s="4"/>
      <c r="S16" s="4"/>
      <c r="T16" s="4"/>
      <c r="U16" s="4"/>
      <c r="V16" s="4"/>
      <c r="W16" s="4"/>
      <c r="X16" s="4"/>
    </row>
    <row r="17" spans="1:24" ht="12.75" customHeight="1" x14ac:dyDescent="0.25">
      <c r="A17" s="5"/>
      <c r="B17" s="61"/>
      <c r="C17" s="61"/>
      <c r="D17" s="61"/>
      <c r="E17" s="61"/>
      <c r="F17" s="61"/>
      <c r="G17" s="61"/>
      <c r="H17" s="61"/>
      <c r="I17" s="61"/>
      <c r="J17" s="62" t="s">
        <v>14</v>
      </c>
      <c r="K17" s="62"/>
      <c r="L17" s="62"/>
      <c r="M17" s="62"/>
      <c r="N17" s="51" t="s">
        <v>34</v>
      </c>
      <c r="O17" s="52"/>
      <c r="P17" s="52"/>
      <c r="Q17" s="52"/>
      <c r="R17" s="4"/>
      <c r="S17" s="4"/>
      <c r="T17" s="4"/>
      <c r="U17" s="4"/>
      <c r="V17" s="4"/>
      <c r="W17" s="4"/>
      <c r="X17" s="4"/>
    </row>
    <row r="18" spans="1:24" ht="12.75" customHeight="1" x14ac:dyDescent="0.25">
      <c r="A18" s="5" t="s">
        <v>5</v>
      </c>
      <c r="B18" s="53" t="s">
        <v>30</v>
      </c>
      <c r="C18" s="53"/>
      <c r="D18" s="53"/>
      <c r="E18" s="53"/>
      <c r="F18" s="53"/>
      <c r="G18" s="53"/>
      <c r="H18" s="53"/>
      <c r="I18" s="53"/>
      <c r="J18" s="55" t="s">
        <v>11</v>
      </c>
      <c r="K18" s="55"/>
      <c r="L18" s="55"/>
      <c r="M18" s="55"/>
      <c r="N18" s="51" t="s">
        <v>13</v>
      </c>
      <c r="O18" s="52"/>
      <c r="P18" s="52"/>
      <c r="Q18" s="52"/>
      <c r="R18" s="4"/>
      <c r="S18" s="4"/>
      <c r="T18" s="4"/>
      <c r="U18" s="4"/>
      <c r="V18" s="4"/>
      <c r="W18" s="4"/>
      <c r="X18" s="4"/>
    </row>
    <row r="19" spans="1:24" ht="6.75" customHeight="1" x14ac:dyDescent="0.4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 t="s">
        <v>19</v>
      </c>
      <c r="Q19" s="10" t="s">
        <v>20</v>
      </c>
      <c r="R19" s="4"/>
      <c r="S19" s="4"/>
      <c r="T19" s="4"/>
      <c r="U19" s="4"/>
      <c r="V19" s="4"/>
      <c r="W19" s="4"/>
      <c r="X19" s="4"/>
    </row>
    <row r="20" spans="1:24" ht="23.15" customHeight="1" x14ac:dyDescent="0.4">
      <c r="A20" s="63" t="s">
        <v>15</v>
      </c>
      <c r="B20" s="64"/>
      <c r="C20" s="64"/>
      <c r="D20" s="64"/>
      <c r="E20" s="64"/>
      <c r="F20" s="64"/>
      <c r="G20" s="64"/>
      <c r="H20" s="65"/>
      <c r="I20" s="16"/>
      <c r="J20" s="16"/>
      <c r="K20" s="16"/>
      <c r="L20" s="16"/>
      <c r="M20" s="16"/>
      <c r="N20" s="16"/>
      <c r="O20" s="16"/>
      <c r="P20" s="7"/>
      <c r="Q20" s="7"/>
      <c r="R20" s="4"/>
      <c r="S20" s="4"/>
      <c r="T20" s="4"/>
      <c r="U20" s="4"/>
      <c r="V20" s="4"/>
      <c r="W20" s="4"/>
      <c r="X20" s="4"/>
    </row>
    <row r="21" spans="1:24" ht="15" customHeight="1" x14ac:dyDescent="0.3">
      <c r="A21" s="56" t="s">
        <v>16</v>
      </c>
      <c r="B21" s="51"/>
      <c r="C21" s="57"/>
      <c r="D21" s="28"/>
      <c r="E21" s="44" t="s">
        <v>45</v>
      </c>
      <c r="F21" s="45"/>
      <c r="G21" s="46"/>
      <c r="H21" s="35" t="s">
        <v>47</v>
      </c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</row>
    <row r="22" spans="1:24" ht="12.75" customHeight="1" x14ac:dyDescent="0.3">
      <c r="A22" s="58" t="s">
        <v>17</v>
      </c>
      <c r="B22" s="59"/>
      <c r="C22" s="60"/>
      <c r="D22" s="29" t="s">
        <v>18</v>
      </c>
      <c r="E22" s="18" t="s">
        <v>35</v>
      </c>
      <c r="F22" s="19" t="s">
        <v>36</v>
      </c>
      <c r="G22" s="20" t="s">
        <v>42</v>
      </c>
      <c r="H22" s="15" t="s">
        <v>46</v>
      </c>
      <c r="I22" s="8"/>
      <c r="J22" s="8"/>
      <c r="K22" s="8"/>
      <c r="L22" s="8"/>
      <c r="M22" s="8"/>
      <c r="N22" s="8"/>
      <c r="O22" s="8"/>
      <c r="P22" s="8"/>
      <c r="Q22" s="8"/>
      <c r="R22" s="4"/>
      <c r="S22" s="4" t="s">
        <v>48</v>
      </c>
      <c r="T22" s="4" t="s">
        <v>49</v>
      </c>
      <c r="U22" s="4" t="s">
        <v>50</v>
      </c>
      <c r="V22" s="4"/>
      <c r="W22" s="4"/>
      <c r="X22" s="4"/>
    </row>
    <row r="23" spans="1:24" ht="16" customHeight="1" x14ac:dyDescent="0.35">
      <c r="A23" s="38" t="s">
        <v>37</v>
      </c>
      <c r="B23" s="39"/>
      <c r="C23" s="39"/>
      <c r="D23" s="21" t="s">
        <v>38</v>
      </c>
      <c r="E23" s="22">
        <v>107.4</v>
      </c>
      <c r="F23" s="30">
        <v>0.18</v>
      </c>
      <c r="G23" s="34">
        <v>2.1800000000000002</v>
      </c>
      <c r="H23" s="36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70">
        <f>SUM(E23:G23)</f>
        <v>109.76000000000002</v>
      </c>
      <c r="T23" s="70">
        <f>S23/1000</f>
        <v>0.10976000000000002</v>
      </c>
      <c r="U23" s="70">
        <f>AVERAGE(T23,T24)</f>
        <v>0.11434000000000001</v>
      </c>
      <c r="V23" s="4"/>
      <c r="W23" s="4"/>
      <c r="X23" s="4"/>
    </row>
    <row r="24" spans="1:24" ht="16" customHeight="1" x14ac:dyDescent="0.35">
      <c r="A24" s="40" t="s">
        <v>39</v>
      </c>
      <c r="B24" s="41"/>
      <c r="C24" s="41"/>
      <c r="D24" s="23" t="s">
        <v>40</v>
      </c>
      <c r="E24" s="31">
        <v>116.5</v>
      </c>
      <c r="F24" s="32">
        <v>0.2</v>
      </c>
      <c r="G24" s="33">
        <v>2.2200000000000002</v>
      </c>
      <c r="H24" s="37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70">
        <f>SUM(E24:G24)</f>
        <v>118.92</v>
      </c>
      <c r="T24" s="70">
        <f>S24/1000</f>
        <v>0.11892</v>
      </c>
      <c r="U24" s="4"/>
      <c r="V24" s="4"/>
      <c r="W24" s="4"/>
      <c r="X24" s="4"/>
    </row>
    <row r="25" spans="1:24" ht="12" customHeight="1" x14ac:dyDescent="0.25">
      <c r="A25" s="42" t="s">
        <v>41</v>
      </c>
      <c r="B25" s="42"/>
      <c r="C25" s="42"/>
      <c r="D25" s="42"/>
      <c r="E25" s="43"/>
      <c r="F25" s="4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3">
      <c r="A27" s="47" t="s">
        <v>43</v>
      </c>
      <c r="B27" s="47"/>
      <c r="C27" s="47"/>
      <c r="D27" s="47"/>
      <c r="E27" s="4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24" t="s">
        <v>44</v>
      </c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" customHeight="1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26" t="s">
        <v>16</v>
      </c>
      <c r="B40" s="26" t="s">
        <v>16</v>
      </c>
      <c r="C40" s="26" t="s">
        <v>16</v>
      </c>
      <c r="D40" s="25" t="s">
        <v>16</v>
      </c>
      <c r="E40" s="27" t="s">
        <v>16</v>
      </c>
      <c r="F40" s="27" t="s">
        <v>16</v>
      </c>
      <c r="G40" s="27" t="s">
        <v>16</v>
      </c>
      <c r="H40" s="27" t="s">
        <v>16</v>
      </c>
      <c r="I40" s="27" t="s">
        <v>16</v>
      </c>
      <c r="J40" s="27" t="s">
        <v>16</v>
      </c>
      <c r="K40" s="27" t="s">
        <v>16</v>
      </c>
      <c r="L40" s="27" t="s">
        <v>16</v>
      </c>
      <c r="M40" s="27" t="s">
        <v>16</v>
      </c>
      <c r="N40" s="27" t="s">
        <v>16</v>
      </c>
      <c r="O40" s="27" t="s">
        <v>16</v>
      </c>
      <c r="P40" s="27" t="s">
        <v>16</v>
      </c>
      <c r="Q40" s="27" t="s">
        <v>16</v>
      </c>
      <c r="R40" s="4"/>
      <c r="S40" s="4"/>
      <c r="T40" s="4"/>
      <c r="U40" s="4"/>
      <c r="V40" s="4"/>
      <c r="W40" s="4"/>
      <c r="X40" s="4"/>
    </row>
    <row r="41" spans="1:24" x14ac:dyDescent="0.25">
      <c r="A41" s="26" t="s">
        <v>16</v>
      </c>
      <c r="B41" s="26" t="s">
        <v>16</v>
      </c>
      <c r="C41" s="26" t="s">
        <v>16</v>
      </c>
      <c r="D41" s="25" t="s">
        <v>16</v>
      </c>
      <c r="E41" s="27" t="s">
        <v>16</v>
      </c>
      <c r="F41" s="27" t="s">
        <v>16</v>
      </c>
      <c r="G41" s="27" t="s">
        <v>16</v>
      </c>
      <c r="H41" s="27" t="s">
        <v>16</v>
      </c>
      <c r="I41" s="27" t="s">
        <v>16</v>
      </c>
      <c r="J41" s="27" t="s">
        <v>16</v>
      </c>
      <c r="K41" s="27" t="s">
        <v>16</v>
      </c>
      <c r="L41" s="27" t="s">
        <v>16</v>
      </c>
      <c r="M41" s="27" t="s">
        <v>16</v>
      </c>
      <c r="N41" s="27" t="s">
        <v>16</v>
      </c>
      <c r="O41" s="27" t="s">
        <v>16</v>
      </c>
      <c r="P41" s="27" t="s">
        <v>16</v>
      </c>
      <c r="Q41" s="27" t="s">
        <v>16</v>
      </c>
      <c r="R41" s="4"/>
      <c r="S41" s="4"/>
      <c r="T41" s="4"/>
      <c r="U41" s="4"/>
      <c r="V41" s="4"/>
      <c r="W41" s="4"/>
      <c r="X41" s="4"/>
    </row>
    <row r="42" spans="1:24" x14ac:dyDescent="0.25">
      <c r="A42" s="12"/>
      <c r="B42" s="12"/>
      <c r="C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9"/>
      <c r="B44" s="9"/>
      <c r="C44" s="9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1"/>
      <c r="R49" s="4"/>
      <c r="S49" s="4"/>
      <c r="T49" s="4"/>
      <c r="U49" s="4"/>
      <c r="V49" s="4"/>
      <c r="W49" s="4"/>
      <c r="X49" s="4"/>
    </row>
    <row r="50" spans="1:24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4"/>
      <c r="B55" s="4"/>
      <c r="C55" s="4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</sheetData>
  <sheetProtection algorithmName="SHA-512" hashValue="5xFLnLf5vNWnPZL7OMefCX26X2DPy61oU5uddpuHiJeAShfw/+r0wCiNpnIWf0shsl0an65zLJrlAm4cAWTvbg==" saltValue="6XG96vOBjMUHqJS9ieTNsQ==" spinCount="100000" sheet="1" objects="1" scenarios="1" formatCells="0" formatColumns="0"/>
  <mergeCells count="34">
    <mergeCell ref="B16:I16"/>
    <mergeCell ref="J16:M16"/>
    <mergeCell ref="N16:Q16"/>
    <mergeCell ref="A21:C21"/>
    <mergeCell ref="A22:C22"/>
    <mergeCell ref="B17:I17"/>
    <mergeCell ref="J17:M17"/>
    <mergeCell ref="N17:Q17"/>
    <mergeCell ref="B18:I18"/>
    <mergeCell ref="J18:M18"/>
    <mergeCell ref="N18:Q18"/>
    <mergeCell ref="A20:H20"/>
    <mergeCell ref="B13:Q13"/>
    <mergeCell ref="B14:I14"/>
    <mergeCell ref="J14:M14"/>
    <mergeCell ref="N14:Q14"/>
    <mergeCell ref="B15:I15"/>
    <mergeCell ref="J15:M15"/>
    <mergeCell ref="N15:Q15"/>
    <mergeCell ref="B8:Q8"/>
    <mergeCell ref="B9:Q9"/>
    <mergeCell ref="B10:Q10"/>
    <mergeCell ref="B11:Q11"/>
    <mergeCell ref="B12:Q12"/>
    <mergeCell ref="A1:Q1"/>
    <mergeCell ref="A2:Q2"/>
    <mergeCell ref="A3:Q3"/>
    <mergeCell ref="A4:Q4"/>
    <mergeCell ref="A5:Q5"/>
    <mergeCell ref="A23:C23"/>
    <mergeCell ref="A24:C24"/>
    <mergeCell ref="A25:F25"/>
    <mergeCell ref="E21:G21"/>
    <mergeCell ref="A27:E27"/>
  </mergeCells>
  <pageMargins left="0.39370078740157483" right="0" top="0.23622047244094491" bottom="0.98425196850393704" header="0" footer="0"/>
  <pageSetup scale="79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F887-A24D-4B9E-8179-0F854D6A8C1A}">
  <sheetPr>
    <pageSetUpPr fitToPage="1"/>
  </sheetPr>
  <dimension ref="A1:X60"/>
  <sheetViews>
    <sheetView topLeftCell="A21" zoomScaleNormal="100" workbookViewId="0">
      <selection activeCell="F56" sqref="F56"/>
    </sheetView>
  </sheetViews>
  <sheetFormatPr baseColWidth="10" defaultColWidth="11.453125" defaultRowHeight="12.5" x14ac:dyDescent="0.25"/>
  <cols>
    <col min="1" max="1" width="19.26953125" style="1" customWidth="1"/>
    <col min="2" max="2" width="1.54296875" style="1" customWidth="1"/>
    <col min="3" max="3" width="1.7265625" style="1" customWidth="1"/>
    <col min="4" max="4" width="11.26953125" style="2" customWidth="1"/>
    <col min="5" max="17" width="4.7265625" style="1" customWidth="1"/>
    <col min="18" max="18" width="7.54296875" style="1" customWidth="1"/>
    <col min="19" max="19" width="6.26953125" style="1" customWidth="1"/>
    <col min="20" max="16384" width="11.453125" style="1"/>
  </cols>
  <sheetData>
    <row r="1" spans="1:24" ht="64.5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"/>
      <c r="S1" s="4"/>
      <c r="T1" s="4"/>
      <c r="U1" s="4"/>
      <c r="V1" s="4"/>
    </row>
    <row r="2" spans="1:24" ht="13" x14ac:dyDescent="0.3">
      <c r="A2" s="45" t="s">
        <v>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"/>
      <c r="S2" s="4"/>
      <c r="T2" s="4"/>
      <c r="U2" s="4"/>
      <c r="V2" s="4"/>
    </row>
    <row r="3" spans="1:24" ht="13" x14ac:dyDescent="0.3">
      <c r="A3" s="45" t="s">
        <v>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"/>
      <c r="S3" s="4"/>
      <c r="T3" s="4"/>
      <c r="U3" s="4"/>
      <c r="V3" s="4"/>
    </row>
    <row r="4" spans="1:24" ht="20" x14ac:dyDescent="0.4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"/>
      <c r="S4" s="4"/>
      <c r="T4" s="4"/>
      <c r="U4" s="4"/>
      <c r="V4" s="4"/>
    </row>
    <row r="5" spans="1:24" ht="17.25" customHeight="1" x14ac:dyDescent="0.35">
      <c r="A5" s="49" t="s">
        <v>22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"/>
      <c r="S5" s="4"/>
      <c r="T5" s="4"/>
      <c r="U5" s="4"/>
      <c r="V5" s="4"/>
    </row>
    <row r="6" spans="1:24" ht="2.2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</row>
    <row r="7" spans="1:24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20" x14ac:dyDescent="0.4">
      <c r="A8" s="3" t="s">
        <v>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4"/>
      <c r="S8" s="4"/>
      <c r="T8" s="4"/>
      <c r="U8" s="4"/>
      <c r="V8" s="4"/>
      <c r="W8" s="4"/>
      <c r="X8" s="4"/>
    </row>
    <row r="9" spans="1:24" x14ac:dyDescent="0.25">
      <c r="A9" s="5" t="s">
        <v>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4"/>
      <c r="S9" s="4"/>
      <c r="T9" s="4"/>
      <c r="U9" s="4"/>
      <c r="V9" s="4"/>
      <c r="W9" s="4"/>
      <c r="X9" s="4"/>
    </row>
    <row r="10" spans="1:24" x14ac:dyDescent="0.25">
      <c r="A10" s="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4"/>
      <c r="S10" s="4"/>
      <c r="T10" s="4"/>
      <c r="U10" s="4"/>
      <c r="V10" s="4"/>
      <c r="W10" s="4"/>
      <c r="X10" s="4"/>
    </row>
    <row r="11" spans="1:24" ht="12.75" customHeight="1" x14ac:dyDescent="0.25">
      <c r="A11" s="5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"/>
      <c r="S11" s="4"/>
      <c r="T11" s="4"/>
      <c r="U11" s="4"/>
      <c r="V11" s="4"/>
      <c r="W11" s="4"/>
      <c r="X11" s="4"/>
    </row>
    <row r="12" spans="1:24" x14ac:dyDescent="0.25">
      <c r="A12" s="5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4"/>
      <c r="S12" s="4"/>
      <c r="T12" s="4"/>
      <c r="U12" s="4"/>
      <c r="V12" s="4"/>
      <c r="W12" s="4"/>
      <c r="X12" s="4"/>
    </row>
    <row r="13" spans="1:24" ht="12.75" customHeight="1" x14ac:dyDescent="0.25">
      <c r="A13" s="5" t="s">
        <v>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"/>
      <c r="S13" s="4"/>
      <c r="T13" s="4"/>
      <c r="U13" s="4"/>
      <c r="V13" s="4"/>
      <c r="W13" s="4"/>
      <c r="X13" s="4"/>
    </row>
    <row r="14" spans="1:24" ht="12.75" customHeight="1" x14ac:dyDescent="0.25">
      <c r="A14" s="5"/>
      <c r="B14" s="53"/>
      <c r="C14" s="53"/>
      <c r="D14" s="53"/>
      <c r="E14" s="53"/>
      <c r="F14" s="53"/>
      <c r="G14" s="53"/>
      <c r="H14" s="53"/>
      <c r="I14" s="53"/>
      <c r="J14" s="55" t="s">
        <v>9</v>
      </c>
      <c r="K14" s="55"/>
      <c r="L14" s="55"/>
      <c r="M14" s="55"/>
      <c r="N14" s="9"/>
      <c r="O14" s="69"/>
      <c r="P14" s="69"/>
      <c r="Q14" s="69"/>
      <c r="R14" s="69"/>
      <c r="S14" s="4"/>
      <c r="T14" s="4"/>
      <c r="U14" s="4"/>
      <c r="V14" s="4"/>
      <c r="W14" s="4"/>
      <c r="X14" s="4"/>
    </row>
    <row r="15" spans="1:24" ht="12.75" customHeight="1" x14ac:dyDescent="0.25">
      <c r="A15" s="5" t="s">
        <v>3</v>
      </c>
      <c r="B15" s="53"/>
      <c r="C15" s="53"/>
      <c r="D15" s="53"/>
      <c r="E15" s="53"/>
      <c r="F15" s="53"/>
      <c r="G15" s="53"/>
      <c r="H15" s="53"/>
      <c r="I15" s="53"/>
      <c r="J15" s="55" t="s">
        <v>12</v>
      </c>
      <c r="K15" s="55"/>
      <c r="L15" s="55"/>
      <c r="M15" s="55"/>
      <c r="N15" s="55"/>
      <c r="O15" s="69"/>
      <c r="P15" s="69"/>
      <c r="Q15" s="69"/>
      <c r="R15" s="69"/>
      <c r="S15" s="4"/>
      <c r="T15" s="4"/>
      <c r="U15" s="4"/>
      <c r="V15" s="4"/>
      <c r="W15" s="4"/>
      <c r="X15" s="4"/>
    </row>
    <row r="16" spans="1:24" ht="12.75" customHeight="1" x14ac:dyDescent="0.25">
      <c r="A16" s="5" t="s">
        <v>4</v>
      </c>
      <c r="B16" s="53"/>
      <c r="C16" s="53"/>
      <c r="D16" s="53"/>
      <c r="E16" s="53"/>
      <c r="F16" s="53"/>
      <c r="G16" s="53"/>
      <c r="H16" s="53"/>
      <c r="I16" s="53"/>
      <c r="J16" s="55" t="s">
        <v>10</v>
      </c>
      <c r="K16" s="55"/>
      <c r="L16" s="55"/>
      <c r="M16" s="55"/>
      <c r="N16" s="55"/>
      <c r="O16" s="69"/>
      <c r="P16" s="69"/>
      <c r="Q16" s="69"/>
      <c r="R16" s="69"/>
      <c r="S16" s="4"/>
      <c r="T16" s="4"/>
      <c r="U16" s="4"/>
      <c r="V16" s="4"/>
      <c r="W16" s="4"/>
      <c r="X16" s="4"/>
    </row>
    <row r="17" spans="1:24" x14ac:dyDescent="0.25">
      <c r="A17" s="5"/>
      <c r="B17" s="61"/>
      <c r="C17" s="61"/>
      <c r="D17" s="61"/>
      <c r="E17" s="61"/>
      <c r="F17" s="61"/>
      <c r="G17" s="61"/>
      <c r="H17" s="61"/>
      <c r="I17" s="61"/>
      <c r="J17" s="55" t="s">
        <v>14</v>
      </c>
      <c r="K17" s="55"/>
      <c r="L17" s="55"/>
      <c r="M17" s="55"/>
      <c r="N17" s="55"/>
      <c r="O17" s="69"/>
      <c r="P17" s="69"/>
      <c r="Q17" s="69"/>
      <c r="R17" s="69"/>
      <c r="S17" s="4"/>
      <c r="T17" s="4"/>
      <c r="U17" s="4"/>
      <c r="V17" s="4"/>
      <c r="W17" s="4"/>
      <c r="X17" s="4"/>
    </row>
    <row r="18" spans="1:24" ht="12.75" customHeight="1" x14ac:dyDescent="0.25">
      <c r="A18" s="5" t="s">
        <v>5</v>
      </c>
      <c r="B18" s="53"/>
      <c r="C18" s="53"/>
      <c r="D18" s="53"/>
      <c r="E18" s="53"/>
      <c r="F18" s="53"/>
      <c r="G18" s="53"/>
      <c r="H18" s="53"/>
      <c r="I18" s="53"/>
      <c r="J18" s="55" t="s">
        <v>11</v>
      </c>
      <c r="K18" s="55"/>
      <c r="L18" s="55"/>
      <c r="M18" s="55"/>
      <c r="N18" s="9"/>
      <c r="O18" s="69"/>
      <c r="P18" s="69"/>
      <c r="Q18" s="69"/>
      <c r="R18" s="69"/>
      <c r="S18" s="4"/>
      <c r="T18" s="4"/>
      <c r="U18" s="4"/>
      <c r="V18" s="4"/>
      <c r="W18" s="4"/>
      <c r="X18" s="4"/>
    </row>
    <row r="19" spans="1:24" ht="6.75" customHeight="1" x14ac:dyDescent="0.4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 t="s">
        <v>19</v>
      </c>
      <c r="Q19" s="10" t="s">
        <v>20</v>
      </c>
      <c r="R19" s="4"/>
      <c r="S19" s="4"/>
      <c r="T19" s="4"/>
      <c r="U19" s="4"/>
      <c r="V19" s="4"/>
      <c r="W19" s="4"/>
      <c r="X19" s="4"/>
    </row>
    <row r="20" spans="1:24" ht="21" customHeight="1" x14ac:dyDescent="0.4">
      <c r="A20" s="16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7"/>
      <c r="Q20" s="7"/>
      <c r="R20" s="4"/>
      <c r="S20" s="4"/>
      <c r="T20" s="4"/>
      <c r="U20" s="4"/>
      <c r="V20" s="4"/>
      <c r="W20" s="4"/>
      <c r="X20" s="4"/>
    </row>
    <row r="21" spans="1:24" ht="17.149999999999999" customHeight="1" x14ac:dyDescent="0.3">
      <c r="A21" s="66" t="s">
        <v>16</v>
      </c>
      <c r="B21" s="67"/>
      <c r="C21" s="68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</row>
    <row r="22" spans="1:24" ht="13" x14ac:dyDescent="0.3">
      <c r="A22" s="58" t="s">
        <v>17</v>
      </c>
      <c r="B22" s="59"/>
      <c r="C22" s="60"/>
      <c r="D22" s="15" t="s">
        <v>18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12"/>
      <c r="B23" s="12"/>
      <c r="C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12"/>
      <c r="B24" s="12"/>
      <c r="C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12"/>
      <c r="B25" s="12"/>
      <c r="C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12"/>
      <c r="B27" s="12"/>
      <c r="C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2"/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12"/>
      <c r="B40" s="12"/>
      <c r="C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2"/>
      <c r="B41" s="12"/>
      <c r="C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12"/>
      <c r="B42" s="12"/>
      <c r="C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12"/>
      <c r="B44" s="12"/>
      <c r="C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/>
      <c r="R50" s="4"/>
      <c r="S50" s="4"/>
      <c r="T50" s="4"/>
      <c r="U50" s="4"/>
      <c r="V50" s="4"/>
      <c r="W50" s="4"/>
      <c r="X50" s="4"/>
    </row>
    <row r="51" spans="1:24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9"/>
      <c r="B55" s="9"/>
      <c r="C55" s="9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</sheetData>
  <sheetProtection formatCells="0" formatColumns="0"/>
  <mergeCells count="28">
    <mergeCell ref="B14:I14"/>
    <mergeCell ref="J14:M14"/>
    <mergeCell ref="O14:R14"/>
    <mergeCell ref="A1:Q1"/>
    <mergeCell ref="A2:Q2"/>
    <mergeCell ref="A3:Q3"/>
    <mergeCell ref="A4:Q4"/>
    <mergeCell ref="A5:Q5"/>
    <mergeCell ref="B8:Q8"/>
    <mergeCell ref="B9:Q9"/>
    <mergeCell ref="B10:Q10"/>
    <mergeCell ref="B11:Q11"/>
    <mergeCell ref="B12:Q12"/>
    <mergeCell ref="B13:Q13"/>
    <mergeCell ref="B15:I15"/>
    <mergeCell ref="J15:N15"/>
    <mergeCell ref="O15:R15"/>
    <mergeCell ref="B16:I16"/>
    <mergeCell ref="J16:N16"/>
    <mergeCell ref="O16:R16"/>
    <mergeCell ref="A21:C21"/>
    <mergeCell ref="A22:C22"/>
    <mergeCell ref="B17:I17"/>
    <mergeCell ref="J17:N17"/>
    <mergeCell ref="O17:R17"/>
    <mergeCell ref="B18:I18"/>
    <mergeCell ref="J18:M18"/>
    <mergeCell ref="O18:R18"/>
  </mergeCells>
  <pageMargins left="0" right="0" top="0" bottom="0" header="0" footer="0"/>
  <pageSetup scale="98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8F45-EC99-449A-A2B4-CC81E5DD6C94}">
  <sheetPr>
    <pageSetUpPr fitToPage="1"/>
  </sheetPr>
  <dimension ref="A1:X60"/>
  <sheetViews>
    <sheetView topLeftCell="A21" zoomScaleNormal="100" workbookViewId="0">
      <selection activeCell="D55" sqref="D55"/>
    </sheetView>
  </sheetViews>
  <sheetFormatPr baseColWidth="10" defaultColWidth="11.453125" defaultRowHeight="12.5" x14ac:dyDescent="0.25"/>
  <cols>
    <col min="1" max="1" width="17" style="1" customWidth="1"/>
    <col min="2" max="2" width="1.54296875" style="1" customWidth="1"/>
    <col min="3" max="3" width="1.7265625" style="1" customWidth="1"/>
    <col min="4" max="4" width="11.7265625" style="2" customWidth="1"/>
    <col min="5" max="7" width="5.453125" style="1" customWidth="1"/>
    <col min="8" max="8" width="12.26953125" style="1" customWidth="1"/>
    <col min="9" max="17" width="5.453125" style="1" customWidth="1"/>
    <col min="18" max="16384" width="11.453125" style="1"/>
  </cols>
  <sheetData>
    <row r="1" spans="1:24" ht="64.5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"/>
      <c r="S1" s="4"/>
      <c r="T1" s="4"/>
      <c r="U1" s="4"/>
      <c r="V1" s="4"/>
    </row>
    <row r="2" spans="1:24" ht="13" x14ac:dyDescent="0.3">
      <c r="A2" s="45" t="s">
        <v>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"/>
      <c r="S2" s="4"/>
      <c r="T2" s="4"/>
      <c r="U2" s="4"/>
      <c r="V2" s="4"/>
    </row>
    <row r="3" spans="1:24" ht="13" x14ac:dyDescent="0.3">
      <c r="A3" s="45" t="s">
        <v>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"/>
      <c r="S3" s="4"/>
      <c r="T3" s="4"/>
      <c r="U3" s="4"/>
      <c r="V3" s="4"/>
    </row>
    <row r="4" spans="1:24" ht="20" x14ac:dyDescent="0.4">
      <c r="A4" s="48" t="s">
        <v>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"/>
      <c r="S4" s="4"/>
      <c r="T4" s="4"/>
      <c r="U4" s="4"/>
      <c r="V4" s="4"/>
    </row>
    <row r="5" spans="1:24" ht="17.25" customHeight="1" x14ac:dyDescent="0.35">
      <c r="A5" s="49" t="s">
        <v>22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"/>
      <c r="S5" s="4"/>
      <c r="T5" s="4"/>
      <c r="U5" s="4"/>
      <c r="V5" s="4"/>
    </row>
    <row r="6" spans="1:24" ht="2.2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</row>
    <row r="7" spans="1:24" ht="2.25" customHeight="1" x14ac:dyDescent="0.25">
      <c r="A7" s="4"/>
      <c r="B7" s="4"/>
      <c r="C7" s="4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4" ht="20" x14ac:dyDescent="0.4">
      <c r="A8" s="3" t="s">
        <v>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4"/>
      <c r="S8" s="4"/>
      <c r="T8" s="4"/>
      <c r="U8" s="4"/>
      <c r="V8" s="4"/>
      <c r="W8" s="4"/>
      <c r="X8" s="4"/>
    </row>
    <row r="9" spans="1:24" x14ac:dyDescent="0.25">
      <c r="A9" s="5" t="s">
        <v>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4"/>
      <c r="S9" s="4"/>
      <c r="T9" s="4"/>
      <c r="U9" s="4"/>
      <c r="V9" s="4"/>
      <c r="W9" s="4"/>
      <c r="X9" s="4"/>
    </row>
    <row r="10" spans="1:24" x14ac:dyDescent="0.25">
      <c r="A10" s="5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4"/>
      <c r="S10" s="4"/>
      <c r="T10" s="4"/>
      <c r="U10" s="4"/>
      <c r="V10" s="4"/>
      <c r="W10" s="4"/>
      <c r="X10" s="4"/>
    </row>
    <row r="11" spans="1:24" ht="12.75" customHeight="1" x14ac:dyDescent="0.25">
      <c r="A11" s="5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4"/>
      <c r="S11" s="4"/>
      <c r="T11" s="4"/>
      <c r="U11" s="4"/>
      <c r="V11" s="4"/>
      <c r="W11" s="4"/>
      <c r="X11" s="4"/>
    </row>
    <row r="12" spans="1:24" x14ac:dyDescent="0.25">
      <c r="A12" s="5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4"/>
      <c r="S12" s="4"/>
      <c r="T12" s="4"/>
      <c r="U12" s="4"/>
      <c r="V12" s="4"/>
      <c r="W12" s="4"/>
      <c r="X12" s="4"/>
    </row>
    <row r="13" spans="1:24" ht="12.75" customHeight="1" x14ac:dyDescent="0.25">
      <c r="A13" s="5" t="s">
        <v>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4"/>
      <c r="S13" s="4"/>
      <c r="T13" s="4"/>
      <c r="U13" s="4"/>
      <c r="V13" s="4"/>
      <c r="W13" s="4"/>
      <c r="X13" s="4"/>
    </row>
    <row r="14" spans="1:24" ht="12.75" customHeight="1" x14ac:dyDescent="0.25">
      <c r="A14" s="5"/>
      <c r="B14" s="53"/>
      <c r="C14" s="53"/>
      <c r="D14" s="53"/>
      <c r="E14" s="53"/>
      <c r="F14" s="53"/>
      <c r="G14" s="53"/>
      <c r="H14" s="53"/>
      <c r="I14" s="53"/>
      <c r="J14" s="55" t="s">
        <v>9</v>
      </c>
      <c r="K14" s="55"/>
      <c r="L14" s="55"/>
      <c r="M14" s="55"/>
      <c r="N14" s="52"/>
      <c r="O14" s="52"/>
      <c r="P14" s="52"/>
      <c r="Q14" s="52"/>
      <c r="R14" s="4"/>
      <c r="S14" s="4"/>
      <c r="T14" s="4"/>
      <c r="U14" s="4"/>
      <c r="V14" s="4"/>
      <c r="W14" s="4"/>
      <c r="X14" s="4"/>
    </row>
    <row r="15" spans="1:24" ht="12.75" customHeight="1" x14ac:dyDescent="0.25">
      <c r="A15" s="5" t="s">
        <v>3</v>
      </c>
      <c r="B15" s="53"/>
      <c r="C15" s="53"/>
      <c r="D15" s="53"/>
      <c r="E15" s="53"/>
      <c r="F15" s="53"/>
      <c r="G15" s="53"/>
      <c r="H15" s="53"/>
      <c r="I15" s="53"/>
      <c r="J15" s="55" t="s">
        <v>12</v>
      </c>
      <c r="K15" s="55"/>
      <c r="L15" s="55"/>
      <c r="M15" s="55"/>
      <c r="N15" s="52"/>
      <c r="O15" s="52"/>
      <c r="P15" s="52"/>
      <c r="Q15" s="52"/>
      <c r="R15" s="4"/>
      <c r="S15" s="4"/>
      <c r="T15" s="4"/>
      <c r="U15" s="4"/>
      <c r="V15" s="4"/>
      <c r="W15" s="4"/>
      <c r="X15" s="4"/>
    </row>
    <row r="16" spans="1:24" ht="12.75" customHeight="1" x14ac:dyDescent="0.25">
      <c r="A16" s="5" t="s">
        <v>4</v>
      </c>
      <c r="B16" s="53"/>
      <c r="C16" s="53"/>
      <c r="D16" s="53"/>
      <c r="E16" s="53"/>
      <c r="F16" s="53"/>
      <c r="G16" s="53"/>
      <c r="H16" s="53"/>
      <c r="I16" s="53"/>
      <c r="J16" s="55" t="s">
        <v>10</v>
      </c>
      <c r="K16" s="55"/>
      <c r="L16" s="55"/>
      <c r="M16" s="55"/>
      <c r="N16" s="52"/>
      <c r="O16" s="52"/>
      <c r="P16" s="52"/>
      <c r="Q16" s="52"/>
      <c r="R16" s="4"/>
      <c r="S16" s="4"/>
      <c r="T16" s="4"/>
      <c r="U16" s="4"/>
      <c r="V16" s="4"/>
      <c r="W16" s="4"/>
      <c r="X16" s="4"/>
    </row>
    <row r="17" spans="1:24" x14ac:dyDescent="0.25">
      <c r="A17" s="5"/>
      <c r="B17" s="61"/>
      <c r="C17" s="61"/>
      <c r="D17" s="61"/>
      <c r="E17" s="61"/>
      <c r="F17" s="61"/>
      <c r="G17" s="61"/>
      <c r="H17" s="61"/>
      <c r="I17" s="61"/>
      <c r="J17" s="62" t="s">
        <v>14</v>
      </c>
      <c r="K17" s="62"/>
      <c r="L17" s="62"/>
      <c r="M17" s="62"/>
      <c r="N17" s="52"/>
      <c r="O17" s="52"/>
      <c r="P17" s="52"/>
      <c r="Q17" s="52"/>
      <c r="R17" s="4"/>
      <c r="S17" s="4"/>
      <c r="T17" s="4"/>
      <c r="U17" s="4"/>
      <c r="V17" s="4"/>
      <c r="W17" s="4"/>
      <c r="X17" s="4"/>
    </row>
    <row r="18" spans="1:24" ht="12.75" customHeight="1" x14ac:dyDescent="0.25">
      <c r="A18" s="5" t="s">
        <v>5</v>
      </c>
      <c r="B18" s="53"/>
      <c r="C18" s="53"/>
      <c r="D18" s="53"/>
      <c r="E18" s="53"/>
      <c r="F18" s="53"/>
      <c r="G18" s="53"/>
      <c r="H18" s="53"/>
      <c r="I18" s="53"/>
      <c r="J18" s="55" t="s">
        <v>11</v>
      </c>
      <c r="K18" s="55"/>
      <c r="L18" s="55"/>
      <c r="M18" s="55"/>
      <c r="N18" s="52" t="s">
        <v>13</v>
      </c>
      <c r="O18" s="52"/>
      <c r="P18" s="52"/>
      <c r="Q18" s="52"/>
      <c r="R18" s="4"/>
      <c r="S18" s="4"/>
      <c r="T18" s="4"/>
      <c r="U18" s="4"/>
      <c r="V18" s="4"/>
      <c r="W18" s="4"/>
      <c r="X18" s="4"/>
    </row>
    <row r="19" spans="1:24" ht="6.75" customHeight="1" x14ac:dyDescent="0.4">
      <c r="A19" s="4"/>
      <c r="B19" s="4"/>
      <c r="C19" s="5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0" t="s">
        <v>19</v>
      </c>
      <c r="Q19" s="10" t="s">
        <v>20</v>
      </c>
      <c r="R19" s="4"/>
      <c r="S19" s="4"/>
      <c r="T19" s="4"/>
      <c r="U19" s="4"/>
      <c r="V19" s="4"/>
      <c r="W19" s="4"/>
      <c r="X19" s="4"/>
    </row>
    <row r="20" spans="1:24" ht="21" customHeight="1" x14ac:dyDescent="0.4">
      <c r="A20" s="16" t="s">
        <v>15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7"/>
      <c r="Q20" s="7"/>
      <c r="R20" s="4"/>
      <c r="S20" s="4"/>
      <c r="T20" s="4"/>
      <c r="U20" s="4"/>
      <c r="V20" s="4"/>
      <c r="W20" s="4"/>
      <c r="X20" s="4"/>
    </row>
    <row r="21" spans="1:24" ht="17.149999999999999" customHeight="1" x14ac:dyDescent="0.3">
      <c r="A21" s="66" t="s">
        <v>16</v>
      </c>
      <c r="B21" s="67"/>
      <c r="C21" s="68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</row>
    <row r="22" spans="1:24" ht="13" x14ac:dyDescent="0.3">
      <c r="A22" s="58" t="s">
        <v>17</v>
      </c>
      <c r="B22" s="59"/>
      <c r="C22" s="60"/>
      <c r="D22" s="15" t="s">
        <v>18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12"/>
      <c r="B23" s="12"/>
      <c r="C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12"/>
      <c r="B24" s="12"/>
      <c r="C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12"/>
      <c r="B25" s="12"/>
      <c r="C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12"/>
      <c r="B26" s="12"/>
      <c r="C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12"/>
      <c r="B27" s="12"/>
      <c r="C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2"/>
      <c r="B28" s="12"/>
      <c r="C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2"/>
      <c r="B29" s="12"/>
      <c r="C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2"/>
      <c r="B30" s="12"/>
      <c r="C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12"/>
      <c r="B31" s="12"/>
      <c r="C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12"/>
      <c r="B32" s="12"/>
      <c r="C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12"/>
      <c r="B33" s="12"/>
      <c r="C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12"/>
      <c r="B34" s="12"/>
      <c r="C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12"/>
      <c r="B35" s="12"/>
      <c r="C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12"/>
      <c r="B36" s="12"/>
      <c r="C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12"/>
      <c r="B37" s="12"/>
      <c r="C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12"/>
      <c r="B38" s="12"/>
      <c r="C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2"/>
      <c r="B39" s="12"/>
      <c r="C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12"/>
      <c r="B40" s="12"/>
      <c r="C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2"/>
      <c r="B41" s="12"/>
      <c r="C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12"/>
      <c r="B42" s="12"/>
      <c r="C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/>
      <c r="B43" s="12"/>
      <c r="C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12"/>
      <c r="B44" s="12"/>
      <c r="C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9"/>
      <c r="B45" s="9"/>
      <c r="C45" s="9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/>
      <c r="B46" s="9"/>
      <c r="C46" s="9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9"/>
      <c r="B47" s="9"/>
      <c r="C47" s="9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/>
      <c r="B48" s="9"/>
      <c r="C48" s="9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9"/>
      <c r="B49" s="9"/>
      <c r="C49" s="9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9"/>
      <c r="B50" s="9"/>
      <c r="C50" s="9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1"/>
      <c r="R50" s="4"/>
      <c r="S50" s="4"/>
      <c r="T50" s="4"/>
      <c r="U50" s="4"/>
      <c r="V50" s="4"/>
      <c r="W50" s="4"/>
      <c r="X50" s="4"/>
    </row>
    <row r="51" spans="1:24" x14ac:dyDescent="0.25">
      <c r="A51" s="9"/>
      <c r="B51" s="9"/>
      <c r="C51" s="9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/>
      <c r="B52" s="9"/>
      <c r="C52" s="9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9"/>
      <c r="B53" s="9"/>
      <c r="C53" s="9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/>
      <c r="B54" s="9"/>
      <c r="C54" s="9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9"/>
      <c r="B55" s="9"/>
      <c r="C55" s="9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4"/>
      <c r="B56" s="4"/>
      <c r="C56" s="4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4"/>
      <c r="B57" s="4"/>
      <c r="C57" s="4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/>
      <c r="B58" s="4"/>
      <c r="C58" s="4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4"/>
      <c r="B59" s="4"/>
      <c r="C59" s="4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4"/>
      <c r="B60" s="4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</sheetData>
  <sheetProtection formatCells="0" formatColumns="0"/>
  <mergeCells count="28">
    <mergeCell ref="B14:I14"/>
    <mergeCell ref="J14:M14"/>
    <mergeCell ref="N14:Q14"/>
    <mergeCell ref="A1:Q1"/>
    <mergeCell ref="A2:Q2"/>
    <mergeCell ref="A3:Q3"/>
    <mergeCell ref="A4:Q4"/>
    <mergeCell ref="A5:Q5"/>
    <mergeCell ref="B8:Q8"/>
    <mergeCell ref="B9:Q9"/>
    <mergeCell ref="B10:Q10"/>
    <mergeCell ref="B11:Q11"/>
    <mergeCell ref="B12:Q12"/>
    <mergeCell ref="B13:Q13"/>
    <mergeCell ref="B15:I15"/>
    <mergeCell ref="J15:M15"/>
    <mergeCell ref="N15:Q15"/>
    <mergeCell ref="B16:I16"/>
    <mergeCell ref="J16:M16"/>
    <mergeCell ref="N16:Q16"/>
    <mergeCell ref="A21:C21"/>
    <mergeCell ref="A22:C22"/>
    <mergeCell ref="B17:I17"/>
    <mergeCell ref="J17:M17"/>
    <mergeCell ref="N17:Q17"/>
    <mergeCell ref="B18:I18"/>
    <mergeCell ref="J18:M18"/>
    <mergeCell ref="N18:Q18"/>
  </mergeCells>
  <pageMargins left="0.39370078740157483" right="0" top="0.23622047244094491" bottom="0.98425196850393704" header="0" footer="0"/>
  <pageSetup scale="99" orientation="portrait" horizontalDpi="4294967294" r:id="rId1"/>
  <headerFooter alignWithMargins="0">
    <oddFooter>&amp;R_x000D_&amp;1#&amp;"Aptos"&amp;8&amp;K000000 Cisco Confidential</oddFooter>
  </headerFooter>
  <drawing r:id="rId2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25-00504 - 25-00505</vt:lpstr>
      <vt:lpstr>Hoja3</vt:lpstr>
      <vt:lpstr>Hoja4</vt:lpstr>
      <vt:lpstr>'25-00504 - 25-00505'!Área_de_impresión</vt:lpstr>
      <vt:lpstr>Hoja3!Área_de_impresión</vt:lpstr>
      <vt:lpstr>Hoja4!Área_de_impresión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BLANCO MONTERO</dc:creator>
  <cp:lastModifiedBy>Mateo Antonio Cerdas Barboza -X (mcerdasb)</cp:lastModifiedBy>
  <cp:lastPrinted>2025-11-28T22:16:36Z</cp:lastPrinted>
  <dcterms:created xsi:type="dcterms:W3CDTF">2005-11-21T21:38:59Z</dcterms:created>
  <dcterms:modified xsi:type="dcterms:W3CDTF">2025-12-17T22:15:18Z</dcterms:modified>
</cp:coreProperties>
</file>