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mcerdasb_cisco_com/Documents/Desktop/tfg acv/Escritos/keep the last one here/"/>
    </mc:Choice>
  </mc:AlternateContent>
  <xr:revisionPtr revIDLastSave="160" documentId="13_ncr:1_{DAB427D6-E0DA-44BA-B57B-975B863F4ADE}" xr6:coauthVersionLast="47" xr6:coauthVersionMax="47" xr10:uidLastSave="{3FDF7017-D640-4EB9-BF82-0867AEC6C5A2}"/>
  <bookViews>
    <workbookView xWindow="-28920" yWindow="-120" windowWidth="29040" windowHeight="15720" activeTab="1" xr2:uid="{00000000-000D-0000-FFFF-FFFF00000000}"/>
  </bookViews>
  <sheets>
    <sheet name="Procedure" sheetId="1" r:id="rId1"/>
    <sheet name="Data" sheetId="3" r:id="rId2"/>
    <sheet name="Equipemen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3" l="1"/>
  <c r="J28" i="3"/>
  <c r="L26" i="3"/>
  <c r="N23" i="3" s="1"/>
  <c r="K26" i="3"/>
  <c r="L23" i="3"/>
  <c r="K23" i="3"/>
  <c r="M23" i="3" s="1"/>
  <c r="L20" i="3"/>
  <c r="K20" i="3"/>
  <c r="L17" i="3"/>
  <c r="N17" i="3" s="1"/>
  <c r="K17" i="3"/>
  <c r="M17" i="3" s="1"/>
  <c r="N8" i="3"/>
  <c r="M8" i="3"/>
  <c r="N2" i="3"/>
  <c r="M2" i="3"/>
  <c r="F18" i="3"/>
  <c r="F19" i="3"/>
  <c r="F20" i="3"/>
  <c r="F21" i="3"/>
  <c r="F22" i="3"/>
  <c r="F23" i="3"/>
  <c r="F24" i="3"/>
  <c r="F25" i="3"/>
  <c r="F26" i="3"/>
  <c r="F27" i="3"/>
  <c r="F28" i="3"/>
  <c r="J18" i="3"/>
  <c r="J19" i="3"/>
  <c r="J20" i="3"/>
  <c r="J21" i="3"/>
  <c r="J22" i="3"/>
  <c r="J23" i="3"/>
  <c r="J24" i="3"/>
  <c r="J25" i="3"/>
  <c r="J26" i="3"/>
  <c r="J17" i="3"/>
  <c r="D23" i="3"/>
  <c r="D24" i="3"/>
  <c r="D25" i="3"/>
  <c r="D26" i="3"/>
  <c r="D27" i="3"/>
  <c r="D28" i="3"/>
  <c r="D20" i="3"/>
  <c r="D21" i="3"/>
  <c r="D22" i="3"/>
  <c r="G22" i="3" s="1"/>
  <c r="H22" i="3" s="1"/>
  <c r="D19" i="3"/>
  <c r="D18" i="3"/>
  <c r="J3" i="3"/>
  <c r="J4" i="3"/>
  <c r="J5" i="3"/>
  <c r="J6" i="3"/>
  <c r="J7" i="3"/>
  <c r="J8" i="3"/>
  <c r="J9" i="3"/>
  <c r="J10" i="3"/>
  <c r="J11" i="3"/>
  <c r="J12" i="3"/>
  <c r="J13" i="3"/>
  <c r="J2" i="3"/>
  <c r="F3" i="3"/>
  <c r="F4" i="3"/>
  <c r="H4" i="3" s="1"/>
  <c r="F5" i="3"/>
  <c r="F6" i="3"/>
  <c r="F7" i="3"/>
  <c r="F8" i="3"/>
  <c r="F9" i="3"/>
  <c r="F10" i="3"/>
  <c r="F11" i="3"/>
  <c r="F12" i="3"/>
  <c r="G12" i="3" s="1"/>
  <c r="F13" i="3"/>
  <c r="H13" i="3" s="1"/>
  <c r="D3" i="3"/>
  <c r="D4" i="3"/>
  <c r="D5" i="3"/>
  <c r="D6" i="3"/>
  <c r="D7" i="3"/>
  <c r="D8" i="3"/>
  <c r="D9" i="3"/>
  <c r="D10" i="3"/>
  <c r="D11" i="3"/>
  <c r="D12" i="3"/>
  <c r="D13" i="3"/>
  <c r="F17" i="3"/>
  <c r="D17" i="3"/>
  <c r="F2" i="3"/>
  <c r="D2" i="3"/>
  <c r="D8" i="1"/>
  <c r="D7" i="1"/>
  <c r="B4" i="1"/>
  <c r="H5" i="3" l="1"/>
  <c r="G2" i="3"/>
  <c r="G20" i="3"/>
  <c r="H20" i="3" s="1"/>
  <c r="G18" i="3"/>
  <c r="H18" i="3" s="1"/>
  <c r="G24" i="3"/>
  <c r="H24" i="3" s="1"/>
  <c r="G23" i="3"/>
  <c r="H23" i="3" s="1"/>
  <c r="G5" i="3"/>
  <c r="K5" i="3" s="1"/>
  <c r="G28" i="3"/>
  <c r="H28" i="3" s="1"/>
  <c r="G11" i="3"/>
  <c r="G3" i="3"/>
  <c r="H6" i="3"/>
  <c r="G27" i="3"/>
  <c r="H27" i="3" s="1"/>
  <c r="G19" i="3"/>
  <c r="H19" i="3" s="1"/>
  <c r="G4" i="3"/>
  <c r="H7" i="3"/>
  <c r="G21" i="3"/>
  <c r="H21" i="3" s="1"/>
  <c r="H2" i="3"/>
  <c r="L2" i="3" s="1"/>
  <c r="H11" i="3"/>
  <c r="H3" i="3"/>
  <c r="G25" i="3"/>
  <c r="H25" i="3" s="1"/>
  <c r="G26" i="3"/>
  <c r="H26" i="3" s="1"/>
  <c r="G10" i="3"/>
  <c r="H9" i="3"/>
  <c r="H8" i="3"/>
  <c r="L8" i="3" s="1"/>
  <c r="H10" i="3"/>
  <c r="G13" i="3"/>
  <c r="G9" i="3"/>
  <c r="G8" i="3"/>
  <c r="H12" i="3"/>
  <c r="G7" i="3"/>
  <c r="G6" i="3"/>
  <c r="G17" i="3"/>
  <c r="H17" i="3" s="1"/>
  <c r="L11" i="3" l="1"/>
  <c r="K11" i="3"/>
  <c r="K8" i="3"/>
  <c r="L5" i="3"/>
  <c r="K2" i="3"/>
</calcChain>
</file>

<file path=xl/sharedStrings.xml><?xml version="1.0" encoding="utf-8"?>
<sst xmlns="http://schemas.openxmlformats.org/spreadsheetml/2006/main" count="150" uniqueCount="112">
  <si>
    <t>Material de Laboratorio</t>
  </si>
  <si>
    <t>Cantidad</t>
  </si>
  <si>
    <t>Uso/Justificación</t>
  </si>
  <si>
    <t>Para la determinación de la masa seca de las muestras de estiércol. Permite calentar las 12 muestras simultáneamente a 105 °C durante 16 horas o hasta peso constante.</t>
  </si>
  <si>
    <t>Mufla</t>
  </si>
  <si>
    <t>Para la determinación de los sólidos volátiles. Permite incinerar las muestras secas a 575 °C durante 4 horas para quemar la materia orgánica.</t>
  </si>
  <si>
    <t>Balanza analítica</t>
  </si>
  <si>
    <t>Para pesar con alta precisión las muestras de estiércol y los crisoles en todas las etapas del proceso (fresco, seco y calcinado).</t>
  </si>
  <si>
    <t>Para enfriar los crisoles con las muestras después de salir del horno o la mufla, evitando que absorban humedad del ambiente antes de ser pesados, lo cual afectaría la precisión de los resultados. Se necesitan suficientes para enfriar las 12 réplicas.</t>
  </si>
  <si>
    <t>Pinzas metálicas (para crisoles)</t>
  </si>
  <si>
    <t>Para manipular de forma segura los crisoles calientes, tanto al sacarlos del horno de secado como de la mufla, y para trasladarlos al desecador. Se recomiendan dos para un manejo más estable y seguro.</t>
  </si>
  <si>
    <t>Espátulas o cucharillas</t>
  </si>
  <si>
    <t>Para manipular las muestras de estiércol (fresco y seco) y trasladarlas a los crisoles. Se recomiendan dos para evitar la contaminación cruzada entre muestras frescas y secas.</t>
  </si>
  <si>
    <t>Desecador y su bandeja para crisoles</t>
  </si>
  <si>
    <t>Horno de secado (Estufa)  y su bandeja para crisoles</t>
  </si>
  <si>
    <t>Procedimiento</t>
  </si>
  <si>
    <t>Determinar masa seca (secado)</t>
  </si>
  <si>
    <t xml:space="preserve">Determinar solidos totales (Incineración) </t>
  </si>
  <si>
    <t>Se va a calcular como el peso restante después de calentar 10 g de una muestra en un horno a 105 °C durante 16 horas. O bien hasta obtener un peso constante)</t>
  </si>
  <si>
    <t>Descripción</t>
  </si>
  <si>
    <t xml:space="preserve">Crisoles de 50 mL a 100mL de capacidad </t>
  </si>
  <si>
    <t>Cantidad muestras</t>
  </si>
  <si>
    <t>Cantidad de repeticiones</t>
  </si>
  <si>
    <t>Los sólidos volátiles se determinarán al tomar muestras de 1 g de la masa seca previamente obtenida y seguidamente mantenerlas a 575◦ C durante 4 horas</t>
  </si>
  <si>
    <t>Se utilizaran para colocar 1g de muestra de masa seca para realizar la incineración</t>
  </si>
  <si>
    <t xml:space="preserve">Crisoles de 30 mL a 100mL de capacidad </t>
  </si>
  <si>
    <t>Cantidad  de réplicas</t>
  </si>
  <si>
    <t xml:space="preserve">Se utilizaran para colocar 10g de muestra inicial para realizar el secado </t>
  </si>
  <si>
    <t>Origen de muestras</t>
  </si>
  <si>
    <t>Cantidad total de muestras</t>
  </si>
  <si>
    <t>Estiércoll fresco</t>
  </si>
  <si>
    <t>A11</t>
  </si>
  <si>
    <t>A22</t>
  </si>
  <si>
    <t>A23</t>
  </si>
  <si>
    <t>A12</t>
  </si>
  <si>
    <t>A13</t>
  </si>
  <si>
    <t>A21</t>
  </si>
  <si>
    <t>B11</t>
  </si>
  <si>
    <t>B22</t>
  </si>
  <si>
    <t>B13</t>
  </si>
  <si>
    <t>B12</t>
  </si>
  <si>
    <t>B21</t>
  </si>
  <si>
    <t>B23</t>
  </si>
  <si>
    <t>ID muestra</t>
  </si>
  <si>
    <t>Etiqueta</t>
  </si>
  <si>
    <t>A</t>
  </si>
  <si>
    <t>B</t>
  </si>
  <si>
    <t xml:space="preserve">Estiércol precompostado </t>
  </si>
  <si>
    <t>Equipo</t>
  </si>
  <si>
    <t>Precicion</t>
  </si>
  <si>
    <t>Peso crisol 1 solo (g)</t>
  </si>
  <si>
    <t>Peso muestra humeda (g)</t>
  </si>
  <si>
    <t>Peso crisol 2 solo (g)</t>
  </si>
  <si>
    <t>Peso crisol 1 con muestra humeda (g)</t>
  </si>
  <si>
    <t>Peso crisol 1 con muestra seca (g)</t>
  </si>
  <si>
    <t>Peso muestra seca (g)</t>
  </si>
  <si>
    <t>Peso crisol 2 con muestra seca (g)</t>
  </si>
  <si>
    <t>Peso muestra seca  (g)</t>
  </si>
  <si>
    <t>Peso crisol 2 con muestra incinerada (g)</t>
  </si>
  <si>
    <t>AI11</t>
  </si>
  <si>
    <t>AI12</t>
  </si>
  <si>
    <t>AI13</t>
  </si>
  <si>
    <t>AI21</t>
  </si>
  <si>
    <t>AI22</t>
  </si>
  <si>
    <t>AI23</t>
  </si>
  <si>
    <t>BI11</t>
  </si>
  <si>
    <t>BI12</t>
  </si>
  <si>
    <t>BI13</t>
  </si>
  <si>
    <t>BI21</t>
  </si>
  <si>
    <t>BI22</t>
  </si>
  <si>
    <t>BI23</t>
  </si>
  <si>
    <t>Peso muestra incinerada, ceniza (g)</t>
  </si>
  <si>
    <t>Contenido de humedad inicial en base humedad (%)</t>
  </si>
  <si>
    <t>Disposicion espacial</t>
  </si>
  <si>
    <t>Fila 1</t>
  </si>
  <si>
    <t>Nivel 1</t>
  </si>
  <si>
    <t>Nivel 2</t>
  </si>
  <si>
    <t>Fila 2</t>
  </si>
  <si>
    <t>Secado</t>
  </si>
  <si>
    <t>Incinerado</t>
  </si>
  <si>
    <t>cenizas %</t>
  </si>
  <si>
    <t>balanza analitica</t>
  </si>
  <si>
    <t>0,1 mg</t>
  </si>
  <si>
    <t>Horno se opera de 5:00 pm el 10 de noviembre hasta las 9:13am del 11 de noviembre</t>
  </si>
  <si>
    <t>9:35 am a 10:30</t>
  </si>
  <si>
    <t>Peso crisol 1 con muestra seca (g) monitor to constante 1</t>
  </si>
  <si>
    <t>% diferencia</t>
  </si>
  <si>
    <t>11:13am a 12:13pm</t>
  </si>
  <si>
    <t>12:13pm a x 12:44pm</t>
  </si>
  <si>
    <t>Peso crisol 2 con muestra incinerada (g) monitor constante 1</t>
  </si>
  <si>
    <t>first cool down time humedad para primera medicion de masa seca</t>
  </si>
  <si>
    <t>calentamiento 2 de humedad para verificar peso constante</t>
  </si>
  <si>
    <t xml:space="preserve">cool down time humedad para verificar peso constante </t>
  </si>
  <si>
    <t>Humedad</t>
  </si>
  <si>
    <t>Incineriacion</t>
  </si>
  <si>
    <t>Mufla se opera de 8:30 am del 12 de noviembre hasta las 2:35pm del 12 de noviembre 6 hrs de incinerado</t>
  </si>
  <si>
    <t>T</t>
  </si>
  <si>
    <t>11 de nov</t>
  </si>
  <si>
    <t>10 de nov</t>
  </si>
  <si>
    <t>0,01g</t>
  </si>
  <si>
    <t>Blanza  para preparar muestras de contenido de humedad</t>
  </si>
  <si>
    <t>Cool down time para alcanzar los 100 C antes de abrir la mufla, desde las 2:35 pm hasta 4:59pm</t>
  </si>
  <si>
    <t>Masa seca (%)</t>
  </si>
  <si>
    <t>Prom % humedad</t>
  </si>
  <si>
    <t>Prom % masa seca</t>
  </si>
  <si>
    <t>media MS %</t>
  </si>
  <si>
    <t>media Humedad %</t>
  </si>
  <si>
    <t>media cenizas %</t>
  </si>
  <si>
    <t>Solidos volatiles %</t>
  </si>
  <si>
    <t xml:space="preserve">media Solidos volatiles % </t>
  </si>
  <si>
    <t>Prom cenizas %</t>
  </si>
  <si>
    <t xml:space="preserve">Prom Solidos volatiles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</si>
</sst>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0" fillId="5" borderId="0" xfId="0" applyFill="1"/>
    <xf numFmtId="166" fontId="0" fillId="0" borderId="0" xfId="0" applyNumberFormat="1"/>
    <xf numFmtId="0" fontId="2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415925</xdr:colOff>
      <xdr:row>5</xdr:row>
      <xdr:rowOff>158750</xdr:rowOff>
    </xdr:from>
    <xdr:to>
      <xdr:col>32</xdr:col>
      <xdr:colOff>103472</xdr:colOff>
      <xdr:row>51</xdr:row>
      <xdr:rowOff>159913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A6BDFB-7869-03B1-2EDC-E871D454F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26575" y="1079500"/>
          <a:ext cx="13409897" cy="847841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workbookViewId="0">
      <selection activeCell="E18" sqref="E18"/>
    </sheetView>
  </sheetViews>
  <sheetFormatPr baseColWidth="10" defaultColWidth="9.1796875" defaultRowHeight="14.5" x14ac:dyDescent="0.35"/>
  <cols>
    <col min="1" max="1" width="47.26953125" bestFit="1" customWidth="1"/>
    <col min="2" max="2" width="17.54296875" bestFit="1" customWidth="1"/>
    <col min="3" max="3" width="28.453125" bestFit="1" customWidth="1"/>
    <col min="4" max="4" width="23.453125" bestFit="1" customWidth="1"/>
    <col min="5" max="5" width="111.7265625" customWidth="1"/>
    <col min="6" max="6" width="16.453125" customWidth="1"/>
  </cols>
  <sheetData>
    <row r="1" spans="1:19" x14ac:dyDescent="0.35">
      <c r="A1" s="6" t="s">
        <v>28</v>
      </c>
      <c r="B1" s="6" t="s">
        <v>21</v>
      </c>
      <c r="C1" t="s">
        <v>44</v>
      </c>
    </row>
    <row r="2" spans="1:19" x14ac:dyDescent="0.35">
      <c r="A2" s="7" t="s">
        <v>30</v>
      </c>
      <c r="B2">
        <v>2</v>
      </c>
      <c r="C2" t="s">
        <v>45</v>
      </c>
    </row>
    <row r="3" spans="1:19" x14ac:dyDescent="0.35">
      <c r="A3" s="7" t="s">
        <v>47</v>
      </c>
      <c r="B3">
        <v>2</v>
      </c>
      <c r="C3" t="s">
        <v>46</v>
      </c>
    </row>
    <row r="4" spans="1:19" x14ac:dyDescent="0.35">
      <c r="A4" s="7" t="s">
        <v>29</v>
      </c>
      <c r="B4">
        <f>B2+B3</f>
        <v>4</v>
      </c>
    </row>
    <row r="5" spans="1:19" x14ac:dyDescent="0.35">
      <c r="A5" s="7"/>
    </row>
    <row r="6" spans="1:19" x14ac:dyDescent="0.35">
      <c r="A6" s="3" t="s">
        <v>15</v>
      </c>
      <c r="B6" s="3" t="s">
        <v>21</v>
      </c>
      <c r="C6" s="6" t="s">
        <v>26</v>
      </c>
      <c r="D6" s="3" t="s">
        <v>22</v>
      </c>
      <c r="E6" s="3" t="s">
        <v>19</v>
      </c>
    </row>
    <row r="7" spans="1:19" ht="29" x14ac:dyDescent="0.35">
      <c r="A7" t="s">
        <v>16</v>
      </c>
      <c r="B7" s="5">
        <v>4</v>
      </c>
      <c r="C7" s="5">
        <v>3</v>
      </c>
      <c r="D7" s="5">
        <f>B7*C7</f>
        <v>12</v>
      </c>
      <c r="E7" s="2" t="s">
        <v>18</v>
      </c>
    </row>
    <row r="8" spans="1:19" ht="29" x14ac:dyDescent="0.35">
      <c r="A8" t="s">
        <v>17</v>
      </c>
      <c r="B8" s="5">
        <v>4</v>
      </c>
      <c r="C8" s="5">
        <v>3</v>
      </c>
      <c r="D8" s="5">
        <f>B8*C8</f>
        <v>12</v>
      </c>
      <c r="E8" s="2" t="s">
        <v>23</v>
      </c>
    </row>
    <row r="9" spans="1:19" x14ac:dyDescent="0.35">
      <c r="E9" s="2"/>
    </row>
    <row r="10" spans="1:19" x14ac:dyDescent="0.35">
      <c r="A10" s="3" t="s">
        <v>0</v>
      </c>
      <c r="B10" s="15" t="s">
        <v>1</v>
      </c>
      <c r="C10" s="15"/>
      <c r="D10" s="15"/>
      <c r="E10" s="3" t="s">
        <v>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9" x14ac:dyDescent="0.35">
      <c r="A11" t="s">
        <v>14</v>
      </c>
      <c r="B11" s="14">
        <v>1</v>
      </c>
      <c r="C11" s="14"/>
      <c r="D11" s="14"/>
      <c r="E11" s="2" t="s">
        <v>3</v>
      </c>
    </row>
    <row r="12" spans="1:19" ht="29" x14ac:dyDescent="0.35">
      <c r="A12" t="s">
        <v>4</v>
      </c>
      <c r="B12" s="14">
        <v>1</v>
      </c>
      <c r="C12" s="14"/>
      <c r="D12" s="14"/>
      <c r="E12" s="2" t="s">
        <v>5</v>
      </c>
    </row>
    <row r="13" spans="1:19" x14ac:dyDescent="0.35">
      <c r="A13" t="s">
        <v>6</v>
      </c>
      <c r="B13" s="14">
        <v>1</v>
      </c>
      <c r="C13" s="14"/>
      <c r="D13" s="14"/>
      <c r="E13" s="2" t="s">
        <v>7</v>
      </c>
    </row>
    <row r="14" spans="1:19" ht="29" x14ac:dyDescent="0.35">
      <c r="A14" t="s">
        <v>13</v>
      </c>
      <c r="B14" s="14">
        <v>2</v>
      </c>
      <c r="C14" s="14"/>
      <c r="D14" s="14"/>
      <c r="E14" s="2" t="s">
        <v>8</v>
      </c>
    </row>
    <row r="15" spans="1:19" ht="29" x14ac:dyDescent="0.35">
      <c r="A15" t="s">
        <v>9</v>
      </c>
      <c r="B15" s="14">
        <v>2</v>
      </c>
      <c r="C15" s="14"/>
      <c r="D15" s="14"/>
      <c r="E15" s="2" t="s">
        <v>10</v>
      </c>
    </row>
    <row r="16" spans="1:19" ht="29" x14ac:dyDescent="0.35">
      <c r="A16" t="s">
        <v>11</v>
      </c>
      <c r="B16" s="14">
        <v>2</v>
      </c>
      <c r="C16" s="14"/>
      <c r="D16" s="14"/>
      <c r="E16" s="2" t="s">
        <v>12</v>
      </c>
    </row>
    <row r="17" spans="1:5" x14ac:dyDescent="0.35">
      <c r="A17" t="s">
        <v>20</v>
      </c>
      <c r="B17" s="14">
        <v>12</v>
      </c>
      <c r="C17" s="14"/>
      <c r="D17" s="14"/>
      <c r="E17" s="2" t="s">
        <v>27</v>
      </c>
    </row>
    <row r="18" spans="1:5" x14ac:dyDescent="0.35">
      <c r="A18" t="s">
        <v>25</v>
      </c>
      <c r="B18" s="14">
        <v>12</v>
      </c>
      <c r="C18" s="14"/>
      <c r="D18" s="14"/>
      <c r="E18" s="2" t="s">
        <v>24</v>
      </c>
    </row>
    <row r="19" spans="1:5" x14ac:dyDescent="0.35">
      <c r="B19" s="4"/>
      <c r="C19" s="4"/>
      <c r="D19" s="4"/>
      <c r="E19" s="2"/>
    </row>
    <row r="20" spans="1:5" x14ac:dyDescent="0.35">
      <c r="B20" s="4"/>
      <c r="C20" s="4"/>
      <c r="D20" s="4"/>
      <c r="E20" s="2"/>
    </row>
    <row r="21" spans="1:5" x14ac:dyDescent="0.35">
      <c r="B21" s="4"/>
      <c r="C21" s="4"/>
      <c r="D21" s="4"/>
      <c r="E21" s="2"/>
    </row>
  </sheetData>
  <mergeCells count="9">
    <mergeCell ref="B15:D15"/>
    <mergeCell ref="B16:D16"/>
    <mergeCell ref="B17:D17"/>
    <mergeCell ref="B18:D18"/>
    <mergeCell ref="B10:D10"/>
    <mergeCell ref="B11:D11"/>
    <mergeCell ref="B12:D12"/>
    <mergeCell ref="B13:D13"/>
    <mergeCell ref="B14:D14"/>
  </mergeCells>
  <pageMargins left="0.75" right="0.75" top="1" bottom="1" header="0.5" footer="0.5"/>
  <headerFooter>
    <oddFooter>&amp;R_x000D_&amp;1#&amp;"Calibri"&amp;8&amp;K000000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05E7-ED96-4C95-984F-64BEE8F73A54}">
  <dimension ref="A1:N57"/>
  <sheetViews>
    <sheetView tabSelected="1" topLeftCell="E1" workbookViewId="0">
      <selection activeCell="M8" sqref="M8:M13"/>
    </sheetView>
  </sheetViews>
  <sheetFormatPr baseColWidth="10" defaultRowHeight="14.5" x14ac:dyDescent="0.35"/>
  <cols>
    <col min="2" max="2" width="18.08984375" bestFit="1" customWidth="1"/>
    <col min="3" max="3" width="32.7265625" bestFit="1" customWidth="1"/>
    <col min="4" max="4" width="27" bestFit="1" customWidth="1"/>
    <col min="5" max="5" width="34.6328125" bestFit="1" customWidth="1"/>
    <col min="6" max="6" width="31.1796875" bestFit="1" customWidth="1"/>
    <col min="7" max="7" width="45.90625" bestFit="1" customWidth="1"/>
    <col min="8" max="8" width="18.08984375" bestFit="1" customWidth="1"/>
    <col min="9" max="9" width="48.7265625" customWidth="1"/>
    <col min="11" max="11" width="12.36328125" customWidth="1"/>
    <col min="12" max="12" width="17.08984375" customWidth="1"/>
    <col min="13" max="13" width="10.90625" customWidth="1"/>
    <col min="14" max="14" width="22.1796875" bestFit="1" customWidth="1"/>
  </cols>
  <sheetData>
    <row r="1" spans="1:14" x14ac:dyDescent="0.35">
      <c r="A1" t="s">
        <v>43</v>
      </c>
      <c r="B1" s="8" t="s">
        <v>50</v>
      </c>
      <c r="C1" s="8" t="s">
        <v>53</v>
      </c>
      <c r="D1" s="8" t="s">
        <v>51</v>
      </c>
      <c r="E1" s="8" t="s">
        <v>54</v>
      </c>
      <c r="F1" s="8" t="s">
        <v>55</v>
      </c>
      <c r="G1" s="8" t="s">
        <v>72</v>
      </c>
      <c r="H1" s="8" t="s">
        <v>102</v>
      </c>
      <c r="I1" s="8" t="s">
        <v>85</v>
      </c>
      <c r="J1" s="8" t="s">
        <v>86</v>
      </c>
      <c r="K1" s="8" t="s">
        <v>106</v>
      </c>
      <c r="L1" s="8" t="s">
        <v>105</v>
      </c>
      <c r="M1" s="8" t="s">
        <v>103</v>
      </c>
      <c r="N1" s="8" t="s">
        <v>104</v>
      </c>
    </row>
    <row r="2" spans="1:14" x14ac:dyDescent="0.35">
      <c r="A2" t="s">
        <v>31</v>
      </c>
      <c r="B2">
        <v>38.04</v>
      </c>
      <c r="C2">
        <v>48.08</v>
      </c>
      <c r="D2">
        <f>C2-B2</f>
        <v>10.039999999999999</v>
      </c>
      <c r="E2">
        <v>39.421199999999999</v>
      </c>
      <c r="F2">
        <f>E2-B2</f>
        <v>1.3811999999999998</v>
      </c>
      <c r="G2" s="16">
        <f>((D2-F2)/D2)*100</f>
        <v>86.243027888446207</v>
      </c>
      <c r="H2" s="16">
        <f>F2/D2 * 100</f>
        <v>13.756972111553784</v>
      </c>
      <c r="I2">
        <v>39.420200000000001</v>
      </c>
      <c r="J2">
        <f>((E2-I2)/E2)*100</f>
        <v>2.5367061378082593E-3</v>
      </c>
      <c r="K2" s="18">
        <f>MEDIAN(G2,G3,G4)</f>
        <v>86.243027888446207</v>
      </c>
      <c r="L2" s="18">
        <f>MEDIAN(H2,H3,H4)</f>
        <v>13.756972111553784</v>
      </c>
      <c r="M2" s="18">
        <f>AVERAGE(K2,K5)</f>
        <v>85.829806145605147</v>
      </c>
      <c r="N2" s="18">
        <f>AVERAGE(L2,L5)</f>
        <v>14.170193854394853</v>
      </c>
    </row>
    <row r="3" spans="1:14" x14ac:dyDescent="0.35">
      <c r="A3" t="s">
        <v>34</v>
      </c>
      <c r="B3">
        <v>43.8</v>
      </c>
      <c r="C3">
        <v>53.82</v>
      </c>
      <c r="D3">
        <f t="shared" ref="D3:D13" si="0">C3-B3</f>
        <v>10.020000000000003</v>
      </c>
      <c r="E3">
        <v>45.194200000000002</v>
      </c>
      <c r="F3">
        <f t="shared" ref="F3:F13" si="1">E3-B3</f>
        <v>1.394200000000005</v>
      </c>
      <c r="G3" s="16">
        <f t="shared" ref="G3:G13" si="2">((D3-F3)/D3)*100</f>
        <v>86.085828343313324</v>
      </c>
      <c r="H3" s="16">
        <f t="shared" ref="H3:H13" si="3">F3/D3 * 100</f>
        <v>13.914171656686673</v>
      </c>
      <c r="I3">
        <v>45.191299999999998</v>
      </c>
      <c r="J3">
        <f t="shared" ref="J3:J13" si="4">((E3-I3)/E3)*100</f>
        <v>6.4167525921554076E-3</v>
      </c>
      <c r="K3" s="17"/>
      <c r="L3" s="17"/>
      <c r="M3" s="17"/>
      <c r="N3" s="17"/>
    </row>
    <row r="4" spans="1:14" x14ac:dyDescent="0.35">
      <c r="A4" t="s">
        <v>35</v>
      </c>
      <c r="B4">
        <v>37.520000000000003</v>
      </c>
      <c r="C4">
        <v>47.69</v>
      </c>
      <c r="D4">
        <f t="shared" si="0"/>
        <v>10.169999999999995</v>
      </c>
      <c r="E4">
        <v>38.913600000000002</v>
      </c>
      <c r="F4">
        <f t="shared" si="1"/>
        <v>1.3935999999999993</v>
      </c>
      <c r="G4" s="16">
        <f t="shared" si="2"/>
        <v>86.296951819075716</v>
      </c>
      <c r="H4" s="16">
        <f t="shared" si="3"/>
        <v>13.703048180924288</v>
      </c>
      <c r="I4">
        <v>38.921399999999998</v>
      </c>
      <c r="J4">
        <f t="shared" si="4"/>
        <v>-2.0044406068819208E-2</v>
      </c>
      <c r="K4" s="17"/>
      <c r="L4" s="17"/>
      <c r="M4" s="17"/>
      <c r="N4" s="17"/>
    </row>
    <row r="5" spans="1:14" x14ac:dyDescent="0.35">
      <c r="A5" t="s">
        <v>36</v>
      </c>
      <c r="B5">
        <v>33.26</v>
      </c>
      <c r="C5">
        <v>43.53</v>
      </c>
      <c r="D5">
        <f t="shared" si="0"/>
        <v>10.270000000000003</v>
      </c>
      <c r="E5">
        <v>34.804900000000004</v>
      </c>
      <c r="F5">
        <f t="shared" si="1"/>
        <v>1.5449000000000055</v>
      </c>
      <c r="G5" s="16">
        <f t="shared" si="2"/>
        <v>84.957156767283308</v>
      </c>
      <c r="H5" s="16">
        <f t="shared" si="3"/>
        <v>15.042843232716699</v>
      </c>
      <c r="I5">
        <v>34.807899999999997</v>
      </c>
      <c r="J5">
        <f t="shared" si="4"/>
        <v>-8.6194759933026898E-3</v>
      </c>
      <c r="K5" s="18">
        <f t="shared" ref="K5" si="5">MEDIAN(G5,G6,G7)</f>
        <v>85.416584402764073</v>
      </c>
      <c r="L5" s="18">
        <f>MEDIAN(H5,H6,H7)</f>
        <v>14.583415597235923</v>
      </c>
      <c r="M5" s="17"/>
      <c r="N5" s="17"/>
    </row>
    <row r="6" spans="1:14" x14ac:dyDescent="0.35">
      <c r="A6" t="s">
        <v>32</v>
      </c>
      <c r="B6">
        <v>37.76</v>
      </c>
      <c r="C6">
        <v>47.85</v>
      </c>
      <c r="D6">
        <f t="shared" si="0"/>
        <v>10.090000000000003</v>
      </c>
      <c r="E6">
        <v>39.210999999999999</v>
      </c>
      <c r="F6">
        <f t="shared" si="1"/>
        <v>1.4510000000000005</v>
      </c>
      <c r="G6" s="16">
        <f t="shared" si="2"/>
        <v>85.619425173439041</v>
      </c>
      <c r="H6" s="16">
        <f t="shared" si="3"/>
        <v>14.380574826560952</v>
      </c>
      <c r="I6">
        <v>39.197000000000003</v>
      </c>
      <c r="J6">
        <f t="shared" si="4"/>
        <v>3.5704266659855127E-2</v>
      </c>
      <c r="K6" s="17"/>
      <c r="L6" s="17"/>
      <c r="M6" s="17"/>
      <c r="N6" s="17"/>
    </row>
    <row r="7" spans="1:14" x14ac:dyDescent="0.35">
      <c r="A7" t="s">
        <v>33</v>
      </c>
      <c r="B7">
        <v>41.25</v>
      </c>
      <c r="C7">
        <v>51.38</v>
      </c>
      <c r="D7">
        <f t="shared" si="0"/>
        <v>10.130000000000003</v>
      </c>
      <c r="E7">
        <v>42.7273</v>
      </c>
      <c r="F7">
        <f t="shared" si="1"/>
        <v>1.4772999999999996</v>
      </c>
      <c r="G7" s="16">
        <f t="shared" si="2"/>
        <v>85.416584402764073</v>
      </c>
      <c r="H7" s="16">
        <f t="shared" si="3"/>
        <v>14.583415597235923</v>
      </c>
      <c r="I7">
        <v>42.707500000000003</v>
      </c>
      <c r="J7">
        <f t="shared" si="4"/>
        <v>4.6340395952930533E-2</v>
      </c>
      <c r="K7" s="17"/>
      <c r="L7" s="17"/>
      <c r="M7" s="17"/>
      <c r="N7" s="17"/>
    </row>
    <row r="8" spans="1:14" x14ac:dyDescent="0.35">
      <c r="A8" t="s">
        <v>37</v>
      </c>
      <c r="B8">
        <v>39.159999999999997</v>
      </c>
      <c r="C8">
        <v>49.25</v>
      </c>
      <c r="D8">
        <f t="shared" si="0"/>
        <v>10.090000000000003</v>
      </c>
      <c r="E8">
        <v>41.154000000000003</v>
      </c>
      <c r="F8">
        <f t="shared" si="1"/>
        <v>1.9940000000000069</v>
      </c>
      <c r="G8" s="16">
        <f t="shared" si="2"/>
        <v>80.237859266600537</v>
      </c>
      <c r="H8" s="16">
        <f t="shared" si="3"/>
        <v>19.762140733399466</v>
      </c>
      <c r="I8">
        <v>41.132100000000001</v>
      </c>
      <c r="J8">
        <f t="shared" si="4"/>
        <v>5.3214754337372425E-2</v>
      </c>
      <c r="K8" s="18">
        <f t="shared" ref="K8" si="6">MEDIAN(G8,G9,G10)</f>
        <v>80.237859266600537</v>
      </c>
      <c r="L8" s="18">
        <f>MEDIAN(H8,H9,H10)</f>
        <v>19.762140733399466</v>
      </c>
      <c r="M8" s="18">
        <f>AVERAGE(K8,K11)</f>
        <v>77.606989334792786</v>
      </c>
      <c r="N8" s="18">
        <f>AVERAGE(L8,L11)</f>
        <v>22.393010665207214</v>
      </c>
    </row>
    <row r="9" spans="1:14" x14ac:dyDescent="0.35">
      <c r="A9" t="s">
        <v>40</v>
      </c>
      <c r="B9">
        <v>40.49</v>
      </c>
      <c r="C9">
        <v>50.48</v>
      </c>
      <c r="D9">
        <f t="shared" si="0"/>
        <v>9.9899999999999949</v>
      </c>
      <c r="E9">
        <v>42.465400000000002</v>
      </c>
      <c r="F9">
        <f t="shared" si="1"/>
        <v>1.9754000000000005</v>
      </c>
      <c r="G9" s="16">
        <f t="shared" si="2"/>
        <v>80.226226226226217</v>
      </c>
      <c r="H9" s="16">
        <f t="shared" si="3"/>
        <v>19.77377377377379</v>
      </c>
      <c r="I9">
        <v>42.479100000000003</v>
      </c>
      <c r="J9">
        <f t="shared" si="4"/>
        <v>-3.2261558822005786E-2</v>
      </c>
      <c r="K9" s="17"/>
      <c r="L9" s="17"/>
      <c r="M9" s="17"/>
      <c r="N9" s="17"/>
    </row>
    <row r="10" spans="1:14" x14ac:dyDescent="0.35">
      <c r="A10" t="s">
        <v>39</v>
      </c>
      <c r="B10">
        <v>42.6</v>
      </c>
      <c r="C10">
        <v>52.75</v>
      </c>
      <c r="D10">
        <f t="shared" si="0"/>
        <v>10.149999999999999</v>
      </c>
      <c r="E10">
        <v>44.564500000000002</v>
      </c>
      <c r="F10">
        <f t="shared" si="1"/>
        <v>1.964500000000001</v>
      </c>
      <c r="G10" s="16">
        <f t="shared" si="2"/>
        <v>80.645320197044327</v>
      </c>
      <c r="H10" s="16">
        <f t="shared" si="3"/>
        <v>19.354679802955676</v>
      </c>
      <c r="I10">
        <v>44.567799999999998</v>
      </c>
      <c r="J10">
        <f t="shared" si="4"/>
        <v>-7.4049972511659769E-3</v>
      </c>
      <c r="K10" s="17"/>
      <c r="L10" s="17"/>
      <c r="M10" s="17"/>
      <c r="N10" s="17"/>
    </row>
    <row r="11" spans="1:14" x14ac:dyDescent="0.35">
      <c r="A11" t="s">
        <v>41</v>
      </c>
      <c r="B11">
        <v>34.729999999999997</v>
      </c>
      <c r="C11">
        <v>44.78</v>
      </c>
      <c r="D11">
        <f t="shared" si="0"/>
        <v>10.050000000000004</v>
      </c>
      <c r="E11">
        <v>37.244900000000001</v>
      </c>
      <c r="F11">
        <f t="shared" si="1"/>
        <v>2.5149000000000044</v>
      </c>
      <c r="G11" s="16">
        <f t="shared" si="2"/>
        <v>74.976119402985049</v>
      </c>
      <c r="H11" s="16">
        <f t="shared" si="3"/>
        <v>25.023880597014958</v>
      </c>
      <c r="I11">
        <v>37.230699999999999</v>
      </c>
      <c r="J11">
        <f t="shared" si="4"/>
        <v>3.8126025308169526E-2</v>
      </c>
      <c r="K11" s="18">
        <f t="shared" ref="K11" si="7">MEDIAN(G11,G12,G13)</f>
        <v>74.976119402985049</v>
      </c>
      <c r="L11" s="18">
        <f>MEDIAN(H11,H12,H13)</f>
        <v>25.023880597014958</v>
      </c>
      <c r="M11" s="17"/>
      <c r="N11" s="17"/>
    </row>
    <row r="12" spans="1:14" x14ac:dyDescent="0.35">
      <c r="A12" t="s">
        <v>38</v>
      </c>
      <c r="B12">
        <v>38.47</v>
      </c>
      <c r="C12">
        <v>48.46</v>
      </c>
      <c r="D12">
        <f t="shared" si="0"/>
        <v>9.990000000000002</v>
      </c>
      <c r="E12">
        <v>40.967500000000001</v>
      </c>
      <c r="F12">
        <f t="shared" si="1"/>
        <v>2.4975000000000023</v>
      </c>
      <c r="G12" s="16">
        <f t="shared" si="2"/>
        <v>74.999999999999972</v>
      </c>
      <c r="H12" s="16">
        <f t="shared" si="3"/>
        <v>25.000000000000018</v>
      </c>
      <c r="I12">
        <v>40.968200000000003</v>
      </c>
      <c r="J12">
        <f t="shared" si="4"/>
        <v>-1.7086715079072956E-3</v>
      </c>
      <c r="K12" s="17"/>
      <c r="L12" s="17"/>
      <c r="M12" s="17"/>
      <c r="N12" s="17"/>
    </row>
    <row r="13" spans="1:14" x14ac:dyDescent="0.35">
      <c r="A13" t="s">
        <v>42</v>
      </c>
      <c r="B13">
        <v>32.700000000000003</v>
      </c>
      <c r="C13">
        <v>42.79</v>
      </c>
      <c r="D13">
        <f t="shared" si="0"/>
        <v>10.089999999999996</v>
      </c>
      <c r="E13">
        <v>35.275700000000001</v>
      </c>
      <c r="F13">
        <f t="shared" si="1"/>
        <v>2.5756999999999977</v>
      </c>
      <c r="G13" s="16">
        <f t="shared" si="2"/>
        <v>74.472745292368685</v>
      </c>
      <c r="H13" s="16">
        <f t="shared" si="3"/>
        <v>25.527254707631304</v>
      </c>
      <c r="I13">
        <v>35.264899999999997</v>
      </c>
      <c r="J13">
        <f t="shared" si="4"/>
        <v>3.061597643704661E-2</v>
      </c>
      <c r="K13" s="17"/>
      <c r="L13" s="17"/>
      <c r="M13" s="17"/>
      <c r="N13" s="17"/>
    </row>
    <row r="16" spans="1:14" x14ac:dyDescent="0.35">
      <c r="A16" t="s">
        <v>43</v>
      </c>
      <c r="B16" s="9" t="s">
        <v>52</v>
      </c>
      <c r="C16" s="9" t="s">
        <v>56</v>
      </c>
      <c r="D16" s="9" t="s">
        <v>57</v>
      </c>
      <c r="E16" s="9" t="s">
        <v>58</v>
      </c>
      <c r="F16" s="9" t="s">
        <v>71</v>
      </c>
      <c r="G16" s="9" t="s">
        <v>80</v>
      </c>
      <c r="H16" s="9" t="s">
        <v>108</v>
      </c>
      <c r="I16" s="9" t="s">
        <v>89</v>
      </c>
      <c r="J16" s="9" t="s">
        <v>86</v>
      </c>
      <c r="K16" s="8" t="s">
        <v>107</v>
      </c>
      <c r="L16" s="8" t="s">
        <v>109</v>
      </c>
      <c r="M16" s="8" t="s">
        <v>110</v>
      </c>
      <c r="N16" s="8" t="s">
        <v>111</v>
      </c>
    </row>
    <row r="17" spans="1:14" x14ac:dyDescent="0.35">
      <c r="A17" t="s">
        <v>59</v>
      </c>
      <c r="B17" s="10">
        <v>38.046399999999998</v>
      </c>
      <c r="C17" s="10">
        <v>39.073099999999997</v>
      </c>
      <c r="D17">
        <f>C17-B17</f>
        <v>1.0266999999999982</v>
      </c>
      <c r="E17">
        <v>38.203400000000002</v>
      </c>
      <c r="F17">
        <f>E17-B17</f>
        <v>0.15700000000000358</v>
      </c>
      <c r="G17" s="13">
        <f>(F17/D17)*100</f>
        <v>15.29171130807479</v>
      </c>
      <c r="H17" s="13">
        <f>(100-G17)</f>
        <v>84.708288691925205</v>
      </c>
      <c r="I17">
        <v>39.420200000000001</v>
      </c>
      <c r="J17">
        <f>((E17-I17)/E17)*100</f>
        <v>-3.1850568274027942</v>
      </c>
      <c r="K17" s="19">
        <f>MEDIAN(G17,G18,G19)</f>
        <v>14.746636998078392</v>
      </c>
      <c r="L17" s="19">
        <f>MEDIAN(H17,H18,H19)</f>
        <v>85.253363001921613</v>
      </c>
      <c r="M17" s="19">
        <f>AVERAGE(K17,K20)</f>
        <v>14.256760219899547</v>
      </c>
      <c r="N17" s="19">
        <f>AVERAGE(L17,L20)</f>
        <v>85.743239780100453</v>
      </c>
    </row>
    <row r="18" spans="1:14" x14ac:dyDescent="0.35">
      <c r="A18" t="s">
        <v>60</v>
      </c>
      <c r="B18">
        <v>31.726400000000002</v>
      </c>
      <c r="C18">
        <v>32.683700000000002</v>
      </c>
      <c r="D18">
        <f t="shared" ref="D18:D28" si="8">C18-B18</f>
        <v>0.95730000000000004</v>
      </c>
      <c r="E18">
        <v>31.858000000000001</v>
      </c>
      <c r="F18">
        <f t="shared" ref="F18:F28" si="9">E18-B18</f>
        <v>0.13159999999999883</v>
      </c>
      <c r="G18" s="13">
        <f t="shared" ref="G18:G28" si="10">(F18/D18)*100</f>
        <v>13.746996761725564</v>
      </c>
      <c r="H18" s="13">
        <f t="shared" ref="H18:H28" si="11">(100-G18)</f>
        <v>86.253003238274431</v>
      </c>
      <c r="J18">
        <f t="shared" ref="J18:J28" si="12">((E18-I18)/E18)*100</f>
        <v>100</v>
      </c>
      <c r="K18" s="19"/>
      <c r="L18" s="19"/>
      <c r="M18" s="19"/>
      <c r="N18" s="19"/>
    </row>
    <row r="19" spans="1:14" x14ac:dyDescent="0.35">
      <c r="A19" t="s">
        <v>61</v>
      </c>
      <c r="B19">
        <v>38.285499999999999</v>
      </c>
      <c r="C19">
        <v>39.2742</v>
      </c>
      <c r="D19">
        <f t="shared" si="8"/>
        <v>0.98870000000000147</v>
      </c>
      <c r="E19">
        <v>38.4313</v>
      </c>
      <c r="F19">
        <f t="shared" si="9"/>
        <v>0.14580000000000126</v>
      </c>
      <c r="G19" s="13">
        <f t="shared" si="10"/>
        <v>14.746636998078392</v>
      </c>
      <c r="H19" s="13">
        <f t="shared" si="11"/>
        <v>85.253363001921613</v>
      </c>
      <c r="J19">
        <f t="shared" si="12"/>
        <v>100</v>
      </c>
      <c r="K19" s="19"/>
      <c r="L19" s="19"/>
      <c r="M19" s="19"/>
      <c r="N19" s="19"/>
    </row>
    <row r="20" spans="1:14" x14ac:dyDescent="0.35">
      <c r="A20" t="s">
        <v>62</v>
      </c>
      <c r="B20">
        <v>35.113500000000002</v>
      </c>
      <c r="C20">
        <v>36.178400000000003</v>
      </c>
      <c r="D20">
        <f t="shared" si="8"/>
        <v>1.0649000000000015</v>
      </c>
      <c r="E20">
        <v>35.240400000000001</v>
      </c>
      <c r="F20">
        <f t="shared" si="9"/>
        <v>0.12689999999999912</v>
      </c>
      <c r="G20" s="13">
        <f t="shared" si="10"/>
        <v>11.91661188844013</v>
      </c>
      <c r="H20" s="13">
        <f t="shared" si="11"/>
        <v>88.08338811155987</v>
      </c>
      <c r="J20">
        <f t="shared" si="12"/>
        <v>100</v>
      </c>
      <c r="K20" s="19">
        <f t="shared" ref="K20" si="13">MEDIAN(G20,G21,G22)</f>
        <v>13.766883441720701</v>
      </c>
      <c r="L20" s="19">
        <f>MEDIAN(H20,H21,H22)</f>
        <v>86.233116558279306</v>
      </c>
      <c r="M20" s="19"/>
      <c r="N20" s="19"/>
    </row>
    <row r="21" spans="1:14" x14ac:dyDescent="0.35">
      <c r="A21" t="s">
        <v>63</v>
      </c>
      <c r="B21">
        <v>36.180399999999999</v>
      </c>
      <c r="C21">
        <v>37.179900000000004</v>
      </c>
      <c r="D21">
        <f t="shared" si="8"/>
        <v>0.99950000000000472</v>
      </c>
      <c r="E21">
        <v>36.317999999999998</v>
      </c>
      <c r="F21">
        <f t="shared" si="9"/>
        <v>0.13759999999999906</v>
      </c>
      <c r="G21" s="13">
        <f t="shared" si="10"/>
        <v>13.766883441720701</v>
      </c>
      <c r="H21" s="13">
        <f t="shared" si="11"/>
        <v>86.233116558279306</v>
      </c>
      <c r="J21">
        <f t="shared" si="12"/>
        <v>100</v>
      </c>
      <c r="K21" s="19"/>
      <c r="L21" s="19"/>
      <c r="M21" s="19"/>
      <c r="N21" s="19"/>
    </row>
    <row r="22" spans="1:14" x14ac:dyDescent="0.35">
      <c r="A22" t="s">
        <v>64</v>
      </c>
      <c r="B22">
        <v>28.031500000000001</v>
      </c>
      <c r="C22">
        <v>29.084599999999998</v>
      </c>
      <c r="D22">
        <f t="shared" si="8"/>
        <v>1.053099999999997</v>
      </c>
      <c r="E22">
        <v>28.192299999999999</v>
      </c>
      <c r="F22">
        <f t="shared" si="9"/>
        <v>0.16079999999999828</v>
      </c>
      <c r="G22" s="13">
        <f t="shared" si="10"/>
        <v>15.269205203684239</v>
      </c>
      <c r="H22" s="13">
        <f t="shared" si="11"/>
        <v>84.730794796315763</v>
      </c>
      <c r="J22">
        <f t="shared" si="12"/>
        <v>100</v>
      </c>
      <c r="K22" s="19"/>
      <c r="L22" s="19"/>
      <c r="M22" s="19"/>
      <c r="N22" s="19"/>
    </row>
    <row r="23" spans="1:14" x14ac:dyDescent="0.35">
      <c r="A23" t="s">
        <v>65</v>
      </c>
      <c r="B23">
        <v>43.598399999999998</v>
      </c>
      <c r="C23">
        <v>44.689700000000002</v>
      </c>
      <c r="D23">
        <f t="shared" si="8"/>
        <v>1.0913000000000039</v>
      </c>
      <c r="E23">
        <v>43.882399999999997</v>
      </c>
      <c r="F23">
        <f t="shared" si="9"/>
        <v>0.28399999999999892</v>
      </c>
      <c r="G23" s="13">
        <f t="shared" si="10"/>
        <v>26.024008063776954</v>
      </c>
      <c r="H23" s="13">
        <f t="shared" si="11"/>
        <v>73.975991936223039</v>
      </c>
      <c r="J23">
        <f t="shared" si="12"/>
        <v>100</v>
      </c>
      <c r="K23" s="19">
        <f t="shared" ref="K23" si="14">MEDIAN(G23,G24,G25)</f>
        <v>26.024008063776954</v>
      </c>
      <c r="L23" s="19">
        <f>MEDIAN(H23,H24,H25)</f>
        <v>73.975991936223039</v>
      </c>
      <c r="M23" s="19">
        <f>AVERAGE(K23,K26)</f>
        <v>29.033941158516676</v>
      </c>
      <c r="N23" s="19">
        <f>AVERAGE(L23,L26)</f>
        <v>70.966058841483317</v>
      </c>
    </row>
    <row r="24" spans="1:14" x14ac:dyDescent="0.35">
      <c r="A24" t="s">
        <v>66</v>
      </c>
      <c r="B24">
        <v>38.835299999999997</v>
      </c>
      <c r="C24">
        <v>39.896099999999997</v>
      </c>
      <c r="D24">
        <f t="shared" si="8"/>
        <v>1.0608000000000004</v>
      </c>
      <c r="E24">
        <v>39.091900000000003</v>
      </c>
      <c r="F24">
        <f t="shared" si="9"/>
        <v>0.25660000000000593</v>
      </c>
      <c r="G24" s="13">
        <f t="shared" si="10"/>
        <v>24.189291101056355</v>
      </c>
      <c r="H24" s="13">
        <f t="shared" si="11"/>
        <v>75.810708898943645</v>
      </c>
      <c r="J24">
        <f t="shared" si="12"/>
        <v>100</v>
      </c>
      <c r="K24" s="19"/>
      <c r="L24" s="19"/>
      <c r="M24" s="19"/>
      <c r="N24" s="19"/>
    </row>
    <row r="25" spans="1:14" x14ac:dyDescent="0.35">
      <c r="A25" t="s">
        <v>67</v>
      </c>
      <c r="B25">
        <v>39.283099999999997</v>
      </c>
      <c r="C25">
        <v>40.280500000000004</v>
      </c>
      <c r="D25">
        <f t="shared" si="8"/>
        <v>0.99740000000000606</v>
      </c>
      <c r="E25">
        <v>39.561199999999999</v>
      </c>
      <c r="F25">
        <f t="shared" si="9"/>
        <v>0.27810000000000201</v>
      </c>
      <c r="G25" s="13">
        <f t="shared" si="10"/>
        <v>27.882494485662757</v>
      </c>
      <c r="H25" s="13">
        <f t="shared" si="11"/>
        <v>72.117505514337239</v>
      </c>
      <c r="J25">
        <f t="shared" si="12"/>
        <v>100</v>
      </c>
      <c r="K25" s="19"/>
      <c r="L25" s="19"/>
      <c r="M25" s="19"/>
      <c r="N25" s="19"/>
    </row>
    <row r="26" spans="1:14" x14ac:dyDescent="0.35">
      <c r="A26" t="s">
        <v>68</v>
      </c>
      <c r="B26">
        <v>42.273200000000003</v>
      </c>
      <c r="C26">
        <v>43.292099999999998</v>
      </c>
      <c r="D26">
        <f t="shared" si="8"/>
        <v>1.018899999999995</v>
      </c>
      <c r="E26">
        <v>42.602899999999998</v>
      </c>
      <c r="F26">
        <f t="shared" si="9"/>
        <v>0.32969999999999544</v>
      </c>
      <c r="G26" s="13">
        <f t="shared" si="10"/>
        <v>32.358425753263035</v>
      </c>
      <c r="H26" s="13">
        <f t="shared" si="11"/>
        <v>67.641574246736965</v>
      </c>
      <c r="J26">
        <f t="shared" si="12"/>
        <v>100</v>
      </c>
      <c r="K26" s="19">
        <f t="shared" ref="K26" si="15">MEDIAN(G26,G27,G28)</f>
        <v>32.043874253256398</v>
      </c>
      <c r="L26" s="19">
        <f>MEDIAN(H26,H27,H28)</f>
        <v>67.956125746743595</v>
      </c>
      <c r="M26" s="19"/>
      <c r="N26" s="19"/>
    </row>
    <row r="27" spans="1:14" x14ac:dyDescent="0.35">
      <c r="A27" t="s">
        <v>69</v>
      </c>
      <c r="B27">
        <v>35.009099999999997</v>
      </c>
      <c r="C27">
        <v>36.0428</v>
      </c>
      <c r="D27">
        <f t="shared" si="8"/>
        <v>1.0337000000000032</v>
      </c>
      <c r="E27">
        <v>35.337299999999999</v>
      </c>
      <c r="F27">
        <f t="shared" si="9"/>
        <v>0.32820000000000249</v>
      </c>
      <c r="G27" s="13">
        <f t="shared" si="10"/>
        <v>31.750024184966769</v>
      </c>
      <c r="H27" s="13">
        <f t="shared" si="11"/>
        <v>68.249975815033224</v>
      </c>
      <c r="J27">
        <f t="shared" si="12"/>
        <v>100</v>
      </c>
      <c r="K27" s="19"/>
      <c r="L27" s="19"/>
      <c r="M27" s="19"/>
      <c r="N27" s="19"/>
    </row>
    <row r="28" spans="1:14" x14ac:dyDescent="0.35">
      <c r="A28" t="s">
        <v>70</v>
      </c>
      <c r="B28">
        <v>28.541599999999999</v>
      </c>
      <c r="C28">
        <v>29.5627</v>
      </c>
      <c r="D28">
        <f t="shared" si="8"/>
        <v>1.0211000000000006</v>
      </c>
      <c r="E28">
        <v>28.8688</v>
      </c>
      <c r="F28">
        <f t="shared" si="9"/>
        <v>0.32720000000000127</v>
      </c>
      <c r="G28" s="13">
        <f t="shared" si="10"/>
        <v>32.043874253256398</v>
      </c>
      <c r="H28" s="13">
        <f t="shared" si="11"/>
        <v>67.956125746743595</v>
      </c>
      <c r="J28">
        <f t="shared" si="12"/>
        <v>100</v>
      </c>
      <c r="K28" s="19"/>
      <c r="L28" s="19"/>
      <c r="M28" s="19"/>
      <c r="N28" s="19"/>
    </row>
    <row r="30" spans="1:14" x14ac:dyDescent="0.35">
      <c r="G30" s="13"/>
      <c r="H30" s="13"/>
    </row>
    <row r="32" spans="1:14" x14ac:dyDescent="0.35">
      <c r="A32" t="s">
        <v>73</v>
      </c>
    </row>
    <row r="33" spans="1:14" x14ac:dyDescent="0.35">
      <c r="M33" s="16">
        <v>85.829806145605147</v>
      </c>
      <c r="N33" s="13">
        <v>70.966058841483317</v>
      </c>
    </row>
    <row r="34" spans="1:14" x14ac:dyDescent="0.35">
      <c r="A34" s="8" t="s">
        <v>78</v>
      </c>
      <c r="N34" s="13"/>
    </row>
    <row r="35" spans="1:14" x14ac:dyDescent="0.35">
      <c r="A35" t="s">
        <v>76</v>
      </c>
      <c r="N35" s="13"/>
    </row>
    <row r="36" spans="1:14" x14ac:dyDescent="0.35">
      <c r="A36" t="s">
        <v>74</v>
      </c>
      <c r="B36" t="s">
        <v>77</v>
      </c>
      <c r="N36" s="13"/>
    </row>
    <row r="37" spans="1:14" x14ac:dyDescent="0.35">
      <c r="A37" t="s">
        <v>31</v>
      </c>
      <c r="B37" t="s">
        <v>36</v>
      </c>
      <c r="N37" s="13"/>
    </row>
    <row r="38" spans="1:14" x14ac:dyDescent="0.35">
      <c r="A38" t="s">
        <v>34</v>
      </c>
      <c r="B38" t="s">
        <v>32</v>
      </c>
      <c r="N38" s="13"/>
    </row>
    <row r="39" spans="1:14" x14ac:dyDescent="0.35">
      <c r="A39" t="s">
        <v>35</v>
      </c>
      <c r="B39" t="s">
        <v>33</v>
      </c>
    </row>
    <row r="40" spans="1:14" x14ac:dyDescent="0.35">
      <c r="N40" s="13">
        <v>85.743239780100453</v>
      </c>
    </row>
    <row r="41" spans="1:14" x14ac:dyDescent="0.35">
      <c r="A41" t="s">
        <v>75</v>
      </c>
      <c r="N41" s="13"/>
    </row>
    <row r="42" spans="1:14" x14ac:dyDescent="0.35">
      <c r="A42" t="s">
        <v>74</v>
      </c>
      <c r="B42" t="s">
        <v>77</v>
      </c>
      <c r="N42" s="13"/>
    </row>
    <row r="43" spans="1:14" x14ac:dyDescent="0.35">
      <c r="A43" t="s">
        <v>37</v>
      </c>
      <c r="B43" t="s">
        <v>41</v>
      </c>
      <c r="N43" s="13"/>
    </row>
    <row r="44" spans="1:14" x14ac:dyDescent="0.35">
      <c r="A44" t="s">
        <v>40</v>
      </c>
      <c r="B44" t="s">
        <v>38</v>
      </c>
      <c r="N44" s="13"/>
    </row>
    <row r="45" spans="1:14" x14ac:dyDescent="0.35">
      <c r="A45" t="s">
        <v>39</v>
      </c>
      <c r="B45" t="s">
        <v>42</v>
      </c>
      <c r="N45" s="13"/>
    </row>
    <row r="46" spans="1:14" x14ac:dyDescent="0.35">
      <c r="A46" s="9" t="s">
        <v>79</v>
      </c>
    </row>
    <row r="47" spans="1:14" x14ac:dyDescent="0.35">
      <c r="A47" t="s">
        <v>76</v>
      </c>
    </row>
    <row r="48" spans="1:14" x14ac:dyDescent="0.35">
      <c r="A48" t="s">
        <v>74</v>
      </c>
      <c r="B48" t="s">
        <v>77</v>
      </c>
    </row>
    <row r="49" spans="1:2" x14ac:dyDescent="0.35">
      <c r="A49" t="s">
        <v>59</v>
      </c>
      <c r="B49" t="s">
        <v>62</v>
      </c>
    </row>
    <row r="50" spans="1:2" x14ac:dyDescent="0.35">
      <c r="A50" t="s">
        <v>60</v>
      </c>
      <c r="B50" t="s">
        <v>63</v>
      </c>
    </row>
    <row r="51" spans="1:2" x14ac:dyDescent="0.35">
      <c r="A51" t="s">
        <v>61</v>
      </c>
      <c r="B51" t="s">
        <v>64</v>
      </c>
    </row>
    <row r="53" spans="1:2" x14ac:dyDescent="0.35">
      <c r="A53" t="s">
        <v>75</v>
      </c>
    </row>
    <row r="54" spans="1:2" x14ac:dyDescent="0.35">
      <c r="A54" t="s">
        <v>74</v>
      </c>
      <c r="B54" t="s">
        <v>77</v>
      </c>
    </row>
    <row r="55" spans="1:2" x14ac:dyDescent="0.35">
      <c r="A55" t="s">
        <v>65</v>
      </c>
      <c r="B55" t="s">
        <v>68</v>
      </c>
    </row>
    <row r="56" spans="1:2" x14ac:dyDescent="0.35">
      <c r="A56" t="s">
        <v>66</v>
      </c>
      <c r="B56" t="s">
        <v>69</v>
      </c>
    </row>
    <row r="57" spans="1:2" x14ac:dyDescent="0.35">
      <c r="A57" t="s">
        <v>67</v>
      </c>
      <c r="B57" t="s">
        <v>70</v>
      </c>
    </row>
  </sheetData>
  <mergeCells count="24">
    <mergeCell ref="K23:K25"/>
    <mergeCell ref="L23:L25"/>
    <mergeCell ref="M23:M28"/>
    <mergeCell ref="N23:N28"/>
    <mergeCell ref="K26:K28"/>
    <mergeCell ref="L26:L28"/>
    <mergeCell ref="M2:M7"/>
    <mergeCell ref="N2:N7"/>
    <mergeCell ref="M8:M13"/>
    <mergeCell ref="N8:N13"/>
    <mergeCell ref="K17:K19"/>
    <mergeCell ref="L17:L19"/>
    <mergeCell ref="M17:M22"/>
    <mergeCell ref="N17:N22"/>
    <mergeCell ref="K20:K22"/>
    <mergeCell ref="L20:L22"/>
    <mergeCell ref="K2:K4"/>
    <mergeCell ref="K5:K7"/>
    <mergeCell ref="K8:K10"/>
    <mergeCell ref="K11:K13"/>
    <mergeCell ref="L2:L4"/>
    <mergeCell ref="L5:L7"/>
    <mergeCell ref="L8:L10"/>
    <mergeCell ref="L11:L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3C6C-22A0-4F19-BCC0-C5B6D3C95661}">
  <dimension ref="A1:C14"/>
  <sheetViews>
    <sheetView workbookViewId="0">
      <selection activeCell="A14" sqref="A14"/>
    </sheetView>
  </sheetViews>
  <sheetFormatPr baseColWidth="10" defaultRowHeight="14.5" x14ac:dyDescent="0.35"/>
  <cols>
    <col min="1" max="1" width="90.08984375" bestFit="1" customWidth="1"/>
    <col min="2" max="2" width="18.7265625" bestFit="1" customWidth="1"/>
  </cols>
  <sheetData>
    <row r="1" spans="1:3" x14ac:dyDescent="0.35">
      <c r="A1" t="s">
        <v>48</v>
      </c>
      <c r="B1" t="s">
        <v>49</v>
      </c>
    </row>
    <row r="2" spans="1:3" x14ac:dyDescent="0.35">
      <c r="A2" t="s">
        <v>100</v>
      </c>
      <c r="B2" t="s">
        <v>99</v>
      </c>
    </row>
    <row r="3" spans="1:3" x14ac:dyDescent="0.35">
      <c r="A3" t="s">
        <v>81</v>
      </c>
      <c r="B3" t="s">
        <v>82</v>
      </c>
    </row>
    <row r="4" spans="1:3" x14ac:dyDescent="0.35">
      <c r="A4" s="11" t="s">
        <v>93</v>
      </c>
    </row>
    <row r="5" spans="1:3" x14ac:dyDescent="0.35">
      <c r="A5" t="s">
        <v>83</v>
      </c>
    </row>
    <row r="7" spans="1:3" x14ac:dyDescent="0.35">
      <c r="A7" t="s">
        <v>90</v>
      </c>
      <c r="B7" t="s">
        <v>84</v>
      </c>
      <c r="C7" t="s">
        <v>98</v>
      </c>
    </row>
    <row r="8" spans="1:3" x14ac:dyDescent="0.35">
      <c r="A8" t="s">
        <v>91</v>
      </c>
      <c r="B8" t="s">
        <v>87</v>
      </c>
      <c r="C8" t="s">
        <v>98</v>
      </c>
    </row>
    <row r="9" spans="1:3" x14ac:dyDescent="0.35">
      <c r="A9" t="s">
        <v>92</v>
      </c>
      <c r="B9" t="s">
        <v>88</v>
      </c>
      <c r="C9" t="s">
        <v>98</v>
      </c>
    </row>
    <row r="11" spans="1:3" x14ac:dyDescent="0.35">
      <c r="A11" s="12" t="s">
        <v>94</v>
      </c>
    </row>
    <row r="12" spans="1:3" x14ac:dyDescent="0.35">
      <c r="A12" t="s">
        <v>95</v>
      </c>
      <c r="B12" t="s">
        <v>97</v>
      </c>
    </row>
    <row r="13" spans="1:3" x14ac:dyDescent="0.35">
      <c r="A13" t="s">
        <v>101</v>
      </c>
      <c r="B13" t="s">
        <v>97</v>
      </c>
    </row>
    <row r="14" spans="1:3" x14ac:dyDescent="0.35">
      <c r="A14" t="s">
        <v>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Procedure</vt:lpstr>
      <vt:lpstr>Data</vt:lpstr>
      <vt:lpstr>Equipement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Antonio Cerdas Barboza -X (mcerdasb)</cp:lastModifiedBy>
  <dcterms:created xsi:type="dcterms:W3CDTF">2025-10-24T18:47:22Z</dcterms:created>
  <dcterms:modified xsi:type="dcterms:W3CDTF">2025-12-18T02:20:41Z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2025-10-24T19:02:41Z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68988219-60ed-41e1-a20e-659ab9e86b43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