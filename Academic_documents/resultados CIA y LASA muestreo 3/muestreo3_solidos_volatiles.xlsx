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teo\Downloads\LCA_IPCC_MANURE_TURRIALBA_UCR\Academic_documents\resultados CIA y LASA muestreo 3\"/>
    </mc:Choice>
  </mc:AlternateContent>
  <xr:revisionPtr revIDLastSave="0" documentId="13_ncr:1_{96E87C6D-639A-4746-8B6F-D83630EA810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cedure" sheetId="1" r:id="rId1"/>
    <sheet name="Data" sheetId="3" r:id="rId2"/>
    <sheet name="Equipemen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3" l="1"/>
  <c r="G37" i="3"/>
  <c r="G38" i="3"/>
  <c r="G39" i="3"/>
  <c r="E26" i="3"/>
  <c r="E27" i="3"/>
  <c r="E28" i="3"/>
  <c r="E22" i="3"/>
  <c r="E23" i="3"/>
  <c r="E25" i="3"/>
  <c r="E29" i="3"/>
  <c r="E30" i="3"/>
  <c r="E31" i="3"/>
  <c r="E32" i="3"/>
  <c r="E33" i="3"/>
  <c r="E34" i="3"/>
  <c r="E35" i="3"/>
  <c r="E36" i="3"/>
  <c r="E37" i="3"/>
  <c r="E38" i="3"/>
  <c r="E39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E4" i="3"/>
  <c r="E5" i="3"/>
  <c r="E6" i="3"/>
  <c r="E7" i="3"/>
  <c r="E8" i="3"/>
  <c r="E9" i="3"/>
  <c r="E10" i="3"/>
  <c r="E11" i="3"/>
  <c r="E12" i="3"/>
  <c r="E3" i="3"/>
  <c r="G22" i="3" l="1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K37" i="3"/>
  <c r="K38" i="3"/>
  <c r="K39" i="3"/>
  <c r="E17" i="3"/>
  <c r="K17" i="3"/>
  <c r="E18" i="3"/>
  <c r="K18" i="3"/>
  <c r="E19" i="3"/>
  <c r="K19" i="3"/>
  <c r="K8" i="3"/>
  <c r="K9" i="3"/>
  <c r="K10" i="3"/>
  <c r="K28" i="3"/>
  <c r="K29" i="3"/>
  <c r="K30" i="3"/>
  <c r="K35" i="3"/>
  <c r="K36" i="3"/>
  <c r="K23" i="3"/>
  <c r="K24" i="3"/>
  <c r="K25" i="3"/>
  <c r="K26" i="3"/>
  <c r="K27" i="3"/>
  <c r="K31" i="3"/>
  <c r="K32" i="3"/>
  <c r="K33" i="3"/>
  <c r="K34" i="3"/>
  <c r="K22" i="3"/>
  <c r="E24" i="3"/>
  <c r="K3" i="3"/>
  <c r="K4" i="3"/>
  <c r="K5" i="3"/>
  <c r="K6" i="3"/>
  <c r="K7" i="3"/>
  <c r="K11" i="3"/>
  <c r="K12" i="3"/>
  <c r="K13" i="3"/>
  <c r="K14" i="3"/>
  <c r="K15" i="3"/>
  <c r="K16" i="3"/>
  <c r="K2" i="3"/>
  <c r="E13" i="3"/>
  <c r="E14" i="3"/>
  <c r="E15" i="3"/>
  <c r="E16" i="3"/>
  <c r="G2" i="3"/>
  <c r="E2" i="3"/>
  <c r="D8" i="1"/>
  <c r="D7" i="1"/>
  <c r="B4" i="1"/>
  <c r="H30" i="3" l="1"/>
  <c r="I30" i="3" s="1"/>
  <c r="H37" i="3"/>
  <c r="I37" i="3" s="1"/>
  <c r="H27" i="3"/>
  <c r="I27" i="3" s="1"/>
  <c r="H29" i="3"/>
  <c r="I29" i="3" s="1"/>
  <c r="I19" i="3"/>
  <c r="H39" i="3"/>
  <c r="I39" i="3" s="1"/>
  <c r="H28" i="3"/>
  <c r="I28" i="3" s="1"/>
  <c r="H38" i="3"/>
  <c r="I38" i="3" s="1"/>
  <c r="I10" i="3"/>
  <c r="H19" i="3"/>
  <c r="H9" i="3"/>
  <c r="I9" i="3"/>
  <c r="H10" i="3"/>
  <c r="H18" i="3"/>
  <c r="H17" i="3"/>
  <c r="I18" i="3"/>
  <c r="I17" i="3"/>
  <c r="H8" i="3"/>
  <c r="I8" i="3"/>
  <c r="H15" i="3"/>
  <c r="I4" i="3"/>
  <c r="I16" i="3"/>
  <c r="I5" i="3"/>
  <c r="H2" i="3"/>
  <c r="H25" i="3"/>
  <c r="H23" i="3"/>
  <c r="I23" i="3" s="1"/>
  <c r="H32" i="3"/>
  <c r="I32" i="3" s="1"/>
  <c r="H31" i="3"/>
  <c r="H5" i="3"/>
  <c r="H36" i="3"/>
  <c r="I36" i="3" s="1"/>
  <c r="H14" i="3"/>
  <c r="H3" i="3"/>
  <c r="I6" i="3"/>
  <c r="H35" i="3"/>
  <c r="I35" i="3" s="1"/>
  <c r="H24" i="3"/>
  <c r="I24" i="3" s="1"/>
  <c r="H4" i="3"/>
  <c r="I7" i="3"/>
  <c r="H26" i="3"/>
  <c r="I26" i="3" s="1"/>
  <c r="I2" i="3"/>
  <c r="I14" i="3"/>
  <c r="I3" i="3"/>
  <c r="H33" i="3"/>
  <c r="I33" i="3" s="1"/>
  <c r="H34" i="3"/>
  <c r="H13" i="3"/>
  <c r="I12" i="3"/>
  <c r="I11" i="3"/>
  <c r="I13" i="3"/>
  <c r="H16" i="3"/>
  <c r="H12" i="3"/>
  <c r="H11" i="3"/>
  <c r="I15" i="3"/>
  <c r="H7" i="3"/>
  <c r="H6" i="3"/>
  <c r="H22" i="3"/>
  <c r="L5" i="3" l="1"/>
  <c r="M2" i="3"/>
  <c r="M11" i="3"/>
  <c r="I31" i="3"/>
  <c r="M31" i="3" s="1"/>
  <c r="L31" i="3"/>
  <c r="I22" i="3"/>
  <c r="M22" i="3" s="1"/>
  <c r="L22" i="3"/>
  <c r="I25" i="3"/>
  <c r="M25" i="3" s="1"/>
  <c r="L25" i="3"/>
  <c r="I34" i="3"/>
  <c r="M34" i="3" s="1"/>
  <c r="L34" i="3"/>
  <c r="M14" i="3"/>
  <c r="L14" i="3"/>
  <c r="L11" i="3"/>
  <c r="M5" i="3"/>
  <c r="L2" i="3"/>
  <c r="N31" i="3" l="1"/>
  <c r="O11" i="3"/>
  <c r="O2" i="3"/>
  <c r="N2" i="3"/>
  <c r="N11" i="3"/>
  <c r="O31" i="3"/>
  <c r="N22" i="3"/>
  <c r="O22" i="3"/>
</calcChain>
</file>

<file path=xl/sharedStrings.xml><?xml version="1.0" encoding="utf-8"?>
<sst xmlns="http://schemas.openxmlformats.org/spreadsheetml/2006/main" count="149" uniqueCount="114">
  <si>
    <t>Material de Laboratorio</t>
  </si>
  <si>
    <t>Cantidad</t>
  </si>
  <si>
    <t>Uso/Justificación</t>
  </si>
  <si>
    <t>Para la determinación de la masa seca de las muestras de estiércol. Permite calentar las 12 muestras simultáneamente a 105 °C durante 16 horas o hasta peso constante.</t>
  </si>
  <si>
    <t>Mufla</t>
  </si>
  <si>
    <t>Para la determinación de los sólidos volátiles. Permite incinerar las muestras secas a 575 °C durante 4 horas para quemar la materia orgánica.</t>
  </si>
  <si>
    <t>Balanza analítica</t>
  </si>
  <si>
    <t>Para pesar con alta precisión las muestras de estiércol y los crisoles en todas las etapas del proceso (fresco, seco y calcinado).</t>
  </si>
  <si>
    <t>Para enfriar los crisoles con las muestras después de salir del horno o la mufla, evitando que absorban humedad del ambiente antes de ser pesados, lo cual afectaría la precisión de los resultados. Se necesitan suficientes para enfriar las 12 réplicas.</t>
  </si>
  <si>
    <t>Pinzas metálicas (para crisoles)</t>
  </si>
  <si>
    <t>Para manipular de forma segura los crisoles calientes, tanto al sacarlos del horno de secado como de la mufla, y para trasladarlos al desecador. Se recomiendan dos para un manejo más estable y seguro.</t>
  </si>
  <si>
    <t>Espátulas o cucharillas</t>
  </si>
  <si>
    <t>Para manipular las muestras de estiércol (fresco y seco) y trasladarlas a los crisoles. Se recomiendan dos para evitar la contaminación cruzada entre muestras frescas y secas.</t>
  </si>
  <si>
    <t>Desecador y su bandeja para crisoles</t>
  </si>
  <si>
    <t>Horno de secado (Estufa)  y su bandeja para crisoles</t>
  </si>
  <si>
    <t>Procedimiento</t>
  </si>
  <si>
    <t>Determinar masa seca (secado)</t>
  </si>
  <si>
    <t xml:space="preserve">Determinar solidos totales (Incineración) </t>
  </si>
  <si>
    <t>Se va a calcular como el peso restante después de calentar 10 g de una muestra en un horno a 105 °C durante 16 horas. O bien hasta obtener un peso constante)</t>
  </si>
  <si>
    <t>Descripción</t>
  </si>
  <si>
    <t xml:space="preserve">Crisoles de 50 mL a 100mL de capacidad </t>
  </si>
  <si>
    <t>Cantidad muestras</t>
  </si>
  <si>
    <t>Cantidad de repeticiones</t>
  </si>
  <si>
    <t>Los sólidos volátiles se determinarán al tomar muestras de 1 g de la masa seca previamente obtenida y seguidamente mantenerlas a 575◦ C durante 4 horas</t>
  </si>
  <si>
    <t>Se utilizaran para colocar 1g de muestra de masa seca para realizar la incineración</t>
  </si>
  <si>
    <t xml:space="preserve">Crisoles de 30 mL a 100mL de capacidad </t>
  </si>
  <si>
    <t>Cantidad  de réplicas</t>
  </si>
  <si>
    <t xml:space="preserve">Se utilizaran para colocar 10g de muestra inicial para realizar el secado </t>
  </si>
  <si>
    <t>Origen de muestras</t>
  </si>
  <si>
    <t>Cantidad total de muestras</t>
  </si>
  <si>
    <t>Estiércoll fresco</t>
  </si>
  <si>
    <t>A11</t>
  </si>
  <si>
    <t>A22</t>
  </si>
  <si>
    <t>A23</t>
  </si>
  <si>
    <t>A12</t>
  </si>
  <si>
    <t>A13</t>
  </si>
  <si>
    <t>A21</t>
  </si>
  <si>
    <t>B11</t>
  </si>
  <si>
    <t>B22</t>
  </si>
  <si>
    <t>B13</t>
  </si>
  <si>
    <t>B12</t>
  </si>
  <si>
    <t>B21</t>
  </si>
  <si>
    <t>B23</t>
  </si>
  <si>
    <t>ID muestra</t>
  </si>
  <si>
    <t>Etiqueta</t>
  </si>
  <si>
    <t>A</t>
  </si>
  <si>
    <t>B</t>
  </si>
  <si>
    <t xml:space="preserve">Estiércol precompostado </t>
  </si>
  <si>
    <t>Precicion</t>
  </si>
  <si>
    <t>Peso crisol 1 solo (g)</t>
  </si>
  <si>
    <t>Peso muestra humeda (g)</t>
  </si>
  <si>
    <t>Peso crisol 2 solo (g)</t>
  </si>
  <si>
    <t>Peso crisol 1 con muestra humeda (g)</t>
  </si>
  <si>
    <t>Peso crisol 1 con muestra seca (g)</t>
  </si>
  <si>
    <t>Peso muestra seca (g)</t>
  </si>
  <si>
    <t>Peso crisol 2 con muestra seca (g)</t>
  </si>
  <si>
    <t>Peso muestra seca  (g)</t>
  </si>
  <si>
    <t>Peso crisol 2 con muestra incinerada (g)</t>
  </si>
  <si>
    <t>AI11</t>
  </si>
  <si>
    <t>AI12</t>
  </si>
  <si>
    <t>AI13</t>
  </si>
  <si>
    <t>AI21</t>
  </si>
  <si>
    <t>AI22</t>
  </si>
  <si>
    <t>AI23</t>
  </si>
  <si>
    <t>BI11</t>
  </si>
  <si>
    <t>BI12</t>
  </si>
  <si>
    <t>BI13</t>
  </si>
  <si>
    <t>BI21</t>
  </si>
  <si>
    <t>BI22</t>
  </si>
  <si>
    <t>BI23</t>
  </si>
  <si>
    <t>Peso muestra incinerada, ceniza (g)</t>
  </si>
  <si>
    <t>Contenido de humedad inicial en base humedad (%)</t>
  </si>
  <si>
    <t>Disposicion espacial</t>
  </si>
  <si>
    <t>Fila 1</t>
  </si>
  <si>
    <t>Nivel 1</t>
  </si>
  <si>
    <t>Nivel 2</t>
  </si>
  <si>
    <t>Fila 2</t>
  </si>
  <si>
    <t>Secado</t>
  </si>
  <si>
    <t>Incinerado</t>
  </si>
  <si>
    <t>cenizas %</t>
  </si>
  <si>
    <t>balanza analitica</t>
  </si>
  <si>
    <t>0,1 mg</t>
  </si>
  <si>
    <t>Peso crisol 1 con muestra seca (g) monitor to constante 1</t>
  </si>
  <si>
    <t>% diferencia</t>
  </si>
  <si>
    <t>Peso crisol 2 con muestra incinerada (g) monitor constante 1</t>
  </si>
  <si>
    <t>Humedad</t>
  </si>
  <si>
    <t>0,01g</t>
  </si>
  <si>
    <t>Blanza  para preparar muestras de contenido de humedad</t>
  </si>
  <si>
    <t>Masa seca (%)</t>
  </si>
  <si>
    <t>Prom % humedad</t>
  </si>
  <si>
    <t>Prom % masa seca</t>
  </si>
  <si>
    <t>media MS %</t>
  </si>
  <si>
    <t>media Humedad %</t>
  </si>
  <si>
    <t>media cenizas %</t>
  </si>
  <si>
    <t>Solidos volatiles %</t>
  </si>
  <si>
    <t xml:space="preserve">media Solidos volatiles % </t>
  </si>
  <si>
    <t>Prom cenizas %</t>
  </si>
  <si>
    <t xml:space="preserve">Prom Solidos volatiles % </t>
  </si>
  <si>
    <t>A31</t>
  </si>
  <si>
    <t>A32</t>
  </si>
  <si>
    <t>A33</t>
  </si>
  <si>
    <t>B31</t>
  </si>
  <si>
    <t>B32</t>
  </si>
  <si>
    <t>B33</t>
  </si>
  <si>
    <t>AI31</t>
  </si>
  <si>
    <t>AI32</t>
  </si>
  <si>
    <t>AI33</t>
  </si>
  <si>
    <t>BI31</t>
  </si>
  <si>
    <t>BI32</t>
  </si>
  <si>
    <t>BI33</t>
  </si>
  <si>
    <t>Equipo TEMPLATE</t>
  </si>
  <si>
    <t>CRISOL ID</t>
  </si>
  <si>
    <t>Se procede el 5 de octubre de 2026</t>
  </si>
  <si>
    <t>se ingresan al horno a las 435pm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</si>
</sst>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wrapText="1"/>
    </xf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4" borderId="0" xfId="0" applyFill="1"/>
    <xf numFmtId="0" fontId="0" fillId="5" borderId="0" xfId="0" applyFill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6" borderId="0" xfId="0" applyFill="1"/>
    <xf numFmtId="0" fontId="0" fillId="7" borderId="0" xfId="0" applyFill="1"/>
    <xf numFmtId="164" fontId="0" fillId="7" borderId="0" xfId="0" applyNumberFormat="1" applyFill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415925</xdr:colOff>
      <xdr:row>5</xdr:row>
      <xdr:rowOff>158750</xdr:rowOff>
    </xdr:from>
    <xdr:to>
      <xdr:col>33</xdr:col>
      <xdr:colOff>103472</xdr:colOff>
      <xdr:row>51</xdr:row>
      <xdr:rowOff>159913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A6BDFB-7869-03B1-2EDC-E871D454F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26575" y="1079500"/>
          <a:ext cx="13409897" cy="8478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opLeftCell="D10" workbookViewId="0">
      <selection activeCell="E23" sqref="E23"/>
    </sheetView>
  </sheetViews>
  <sheetFormatPr baseColWidth="10" defaultColWidth="9.1796875" defaultRowHeight="14.5" x14ac:dyDescent="0.35"/>
  <cols>
    <col min="1" max="1" width="47.26953125" bestFit="1" customWidth="1"/>
    <col min="2" max="2" width="17.54296875" bestFit="1" customWidth="1"/>
    <col min="3" max="3" width="28.453125" bestFit="1" customWidth="1"/>
    <col min="4" max="4" width="23.453125" bestFit="1" customWidth="1"/>
    <col min="5" max="5" width="111.7265625" customWidth="1"/>
    <col min="6" max="6" width="16.453125" customWidth="1"/>
  </cols>
  <sheetData>
    <row r="1" spans="1:19" x14ac:dyDescent="0.35">
      <c r="A1" s="6" t="s">
        <v>28</v>
      </c>
      <c r="B1" s="6" t="s">
        <v>21</v>
      </c>
      <c r="C1" t="s">
        <v>44</v>
      </c>
    </row>
    <row r="2" spans="1:19" x14ac:dyDescent="0.35">
      <c r="A2" s="7" t="s">
        <v>30</v>
      </c>
      <c r="B2">
        <v>3</v>
      </c>
      <c r="C2" t="s">
        <v>45</v>
      </c>
    </row>
    <row r="3" spans="1:19" x14ac:dyDescent="0.35">
      <c r="A3" s="7" t="s">
        <v>47</v>
      </c>
      <c r="B3">
        <v>3</v>
      </c>
      <c r="C3" t="s">
        <v>46</v>
      </c>
    </row>
    <row r="4" spans="1:19" x14ac:dyDescent="0.35">
      <c r="A4" s="7" t="s">
        <v>29</v>
      </c>
      <c r="B4">
        <f>B2+B3</f>
        <v>6</v>
      </c>
    </row>
    <row r="5" spans="1:19" x14ac:dyDescent="0.35">
      <c r="A5" s="7"/>
    </row>
    <row r="6" spans="1:19" x14ac:dyDescent="0.35">
      <c r="A6" s="3" t="s">
        <v>15</v>
      </c>
      <c r="B6" s="3" t="s">
        <v>21</v>
      </c>
      <c r="C6" s="6" t="s">
        <v>26</v>
      </c>
      <c r="D6" s="3" t="s">
        <v>22</v>
      </c>
      <c r="E6" s="3" t="s">
        <v>19</v>
      </c>
    </row>
    <row r="7" spans="1:19" ht="29" x14ac:dyDescent="0.35">
      <c r="A7" t="s">
        <v>16</v>
      </c>
      <c r="B7" s="5">
        <v>4</v>
      </c>
      <c r="C7" s="5">
        <v>3</v>
      </c>
      <c r="D7" s="5">
        <f>B7*C7</f>
        <v>12</v>
      </c>
      <c r="E7" s="2" t="s">
        <v>18</v>
      </c>
    </row>
    <row r="8" spans="1:19" ht="29" x14ac:dyDescent="0.35">
      <c r="A8" t="s">
        <v>17</v>
      </c>
      <c r="B8" s="5">
        <v>4</v>
      </c>
      <c r="C8" s="5">
        <v>3</v>
      </c>
      <c r="D8" s="5">
        <f>B8*C8</f>
        <v>12</v>
      </c>
      <c r="E8" s="2" t="s">
        <v>23</v>
      </c>
    </row>
    <row r="9" spans="1:19" x14ac:dyDescent="0.35">
      <c r="E9" s="2"/>
    </row>
    <row r="10" spans="1:19" x14ac:dyDescent="0.35">
      <c r="A10" s="3" t="s">
        <v>0</v>
      </c>
      <c r="B10" s="24" t="s">
        <v>1</v>
      </c>
      <c r="C10" s="24"/>
      <c r="D10" s="24"/>
      <c r="E10" s="3" t="s">
        <v>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9" x14ac:dyDescent="0.35">
      <c r="A11" t="s">
        <v>14</v>
      </c>
      <c r="B11" s="23">
        <v>1</v>
      </c>
      <c r="C11" s="23"/>
      <c r="D11" s="23"/>
      <c r="E11" s="2" t="s">
        <v>3</v>
      </c>
    </row>
    <row r="12" spans="1:19" ht="29" x14ac:dyDescent="0.35">
      <c r="A12" t="s">
        <v>4</v>
      </c>
      <c r="B12" s="23">
        <v>1</v>
      </c>
      <c r="C12" s="23"/>
      <c r="D12" s="23"/>
      <c r="E12" s="2" t="s">
        <v>5</v>
      </c>
    </row>
    <row r="13" spans="1:19" x14ac:dyDescent="0.35">
      <c r="A13" t="s">
        <v>6</v>
      </c>
      <c r="B13" s="23">
        <v>1</v>
      </c>
      <c r="C13" s="23"/>
      <c r="D13" s="23"/>
      <c r="E13" s="2" t="s">
        <v>7</v>
      </c>
    </row>
    <row r="14" spans="1:19" ht="29" x14ac:dyDescent="0.35">
      <c r="A14" t="s">
        <v>13</v>
      </c>
      <c r="B14" s="23">
        <v>2</v>
      </c>
      <c r="C14" s="23"/>
      <c r="D14" s="23"/>
      <c r="E14" s="2" t="s">
        <v>8</v>
      </c>
    </row>
    <row r="15" spans="1:19" ht="29" x14ac:dyDescent="0.35">
      <c r="A15" t="s">
        <v>9</v>
      </c>
      <c r="B15" s="23">
        <v>2</v>
      </c>
      <c r="C15" s="23"/>
      <c r="D15" s="23"/>
      <c r="E15" s="2" t="s">
        <v>10</v>
      </c>
    </row>
    <row r="16" spans="1:19" ht="29" x14ac:dyDescent="0.35">
      <c r="A16" t="s">
        <v>11</v>
      </c>
      <c r="B16" s="23">
        <v>2</v>
      </c>
      <c r="C16" s="23"/>
      <c r="D16" s="23"/>
      <c r="E16" s="2" t="s">
        <v>12</v>
      </c>
    </row>
    <row r="17" spans="1:5" x14ac:dyDescent="0.35">
      <c r="A17" t="s">
        <v>20</v>
      </c>
      <c r="B17" s="23">
        <v>12</v>
      </c>
      <c r="C17" s="23"/>
      <c r="D17" s="23"/>
      <c r="E17" s="2" t="s">
        <v>27</v>
      </c>
    </row>
    <row r="18" spans="1:5" x14ac:dyDescent="0.35">
      <c r="A18" t="s">
        <v>25</v>
      </c>
      <c r="B18" s="23">
        <v>12</v>
      </c>
      <c r="C18" s="23"/>
      <c r="D18" s="23"/>
      <c r="E18" s="2" t="s">
        <v>24</v>
      </c>
    </row>
    <row r="19" spans="1:5" x14ac:dyDescent="0.35">
      <c r="B19" s="4"/>
      <c r="C19" s="4"/>
      <c r="D19" s="4"/>
      <c r="E19" s="2"/>
    </row>
    <row r="20" spans="1:5" x14ac:dyDescent="0.35">
      <c r="B20" s="4"/>
      <c r="C20" s="4"/>
      <c r="D20" s="4"/>
      <c r="E20" s="2"/>
    </row>
    <row r="21" spans="1:5" x14ac:dyDescent="0.35">
      <c r="B21" s="4"/>
      <c r="C21" s="4"/>
      <c r="D21" s="4"/>
      <c r="E21" s="2" t="s">
        <v>112</v>
      </c>
    </row>
    <row r="22" spans="1:5" x14ac:dyDescent="0.35">
      <c r="E22" s="2" t="s">
        <v>113</v>
      </c>
    </row>
  </sheetData>
  <mergeCells count="9">
    <mergeCell ref="B15:D15"/>
    <mergeCell ref="B16:D16"/>
    <mergeCell ref="B17:D17"/>
    <mergeCell ref="B18:D18"/>
    <mergeCell ref="B10:D10"/>
    <mergeCell ref="B11:D11"/>
    <mergeCell ref="B12:D12"/>
    <mergeCell ref="B13:D13"/>
    <mergeCell ref="B14:D14"/>
  </mergeCells>
  <pageMargins left="0.75" right="0.75" top="1" bottom="1" header="0.5" footer="0.5"/>
  <headerFooter>
    <oddFooter>&amp;R_x000D_&amp;1#&amp;"Calibri"&amp;8&amp;K000000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05E7-ED96-4C95-984F-64BEE8F73A54}">
  <dimension ref="A1:O67"/>
  <sheetViews>
    <sheetView tabSelected="1" topLeftCell="G24" workbookViewId="0">
      <selection activeCell="I42" sqref="I42"/>
    </sheetView>
  </sheetViews>
  <sheetFormatPr baseColWidth="10" defaultRowHeight="14.5" x14ac:dyDescent="0.35"/>
  <cols>
    <col min="3" max="3" width="18.1796875" bestFit="1" customWidth="1"/>
    <col min="4" max="4" width="32.7265625" bestFit="1" customWidth="1"/>
    <col min="5" max="5" width="27" bestFit="1" customWidth="1"/>
    <col min="6" max="6" width="34.54296875" bestFit="1" customWidth="1"/>
    <col min="7" max="7" width="31.1796875" bestFit="1" customWidth="1"/>
    <col min="8" max="8" width="45.81640625" bestFit="1" customWidth="1"/>
    <col min="9" max="9" width="18.1796875" bestFit="1" customWidth="1"/>
    <col min="10" max="10" width="48.7265625" customWidth="1"/>
    <col min="12" max="12" width="12.453125" customWidth="1"/>
    <col min="13" max="13" width="17.1796875" customWidth="1"/>
    <col min="14" max="14" width="10.81640625" customWidth="1"/>
    <col min="15" max="15" width="22.1796875" bestFit="1" customWidth="1"/>
  </cols>
  <sheetData>
    <row r="1" spans="1:15" x14ac:dyDescent="0.35">
      <c r="A1" t="s">
        <v>43</v>
      </c>
      <c r="B1" t="s">
        <v>111</v>
      </c>
      <c r="C1" s="8" t="s">
        <v>49</v>
      </c>
      <c r="D1" s="8" t="s">
        <v>52</v>
      </c>
      <c r="E1" s="8" t="s">
        <v>50</v>
      </c>
      <c r="F1" s="8" t="s">
        <v>53</v>
      </c>
      <c r="G1" s="8" t="s">
        <v>54</v>
      </c>
      <c r="H1" s="8" t="s">
        <v>71</v>
      </c>
      <c r="I1" s="8" t="s">
        <v>88</v>
      </c>
      <c r="J1" s="8" t="s">
        <v>82</v>
      </c>
      <c r="K1" s="8" t="s">
        <v>83</v>
      </c>
      <c r="L1" s="8" t="s">
        <v>92</v>
      </c>
      <c r="M1" s="8" t="s">
        <v>91</v>
      </c>
      <c r="N1" s="8" t="s">
        <v>89</v>
      </c>
      <c r="O1" s="8" t="s">
        <v>90</v>
      </c>
    </row>
    <row r="2" spans="1:15" x14ac:dyDescent="0.35">
      <c r="A2" t="s">
        <v>31</v>
      </c>
      <c r="C2" s="10">
        <v>34.826000000000001</v>
      </c>
      <c r="D2">
        <v>45.258699999999997</v>
      </c>
      <c r="E2">
        <f>D2-C2</f>
        <v>10.432699999999997</v>
      </c>
      <c r="F2">
        <v>36.329000000000001</v>
      </c>
      <c r="G2">
        <f>F2-C2</f>
        <v>1.5030000000000001</v>
      </c>
      <c r="H2" s="14">
        <f>((E2-G2)/E2)*100</f>
        <v>85.59337467769609</v>
      </c>
      <c r="I2" s="14">
        <f>G2/E2 * 100</f>
        <v>14.406625322303915</v>
      </c>
      <c r="K2">
        <f>((F2-J2)/F2)*100</f>
        <v>100</v>
      </c>
      <c r="L2" s="21">
        <f>MEDIAN(H2,H3,H4)</f>
        <v>85.59337467769609</v>
      </c>
      <c r="M2" s="21">
        <f>MEDIAN(I2,I3,I4)</f>
        <v>14.406625322303915</v>
      </c>
      <c r="N2" s="21">
        <f>AVERAGE(L2,L5)</f>
        <v>86.235375938826962</v>
      </c>
      <c r="O2" s="21">
        <f>AVERAGE(M2,M5)</f>
        <v>13.764624061173045</v>
      </c>
    </row>
    <row r="3" spans="1:15" x14ac:dyDescent="0.35">
      <c r="A3" t="s">
        <v>34</v>
      </c>
      <c r="C3" s="10">
        <v>31.421299999999999</v>
      </c>
      <c r="D3">
        <v>41.957099999999997</v>
      </c>
      <c r="E3">
        <f t="shared" ref="E3:E16" si="0">D3-C3</f>
        <v>10.535799999999998</v>
      </c>
      <c r="F3">
        <v>32.895899999999997</v>
      </c>
      <c r="G3">
        <f t="shared" ref="G3:G19" si="1">F3-C3</f>
        <v>1.4745999999999988</v>
      </c>
      <c r="H3" s="14">
        <f t="shared" ref="H3:H16" si="2">((E3-G3)/E3)*100</f>
        <v>86.003910476660536</v>
      </c>
      <c r="I3" s="14">
        <f t="shared" ref="I3:I16" si="3">G3/E3 * 100</f>
        <v>13.99608952333946</v>
      </c>
      <c r="K3">
        <f t="shared" ref="K3:K16" si="4">((F3-J3)/F3)*100</f>
        <v>100</v>
      </c>
      <c r="L3" s="22"/>
      <c r="M3" s="22"/>
      <c r="N3" s="22"/>
      <c r="O3" s="22"/>
    </row>
    <row r="4" spans="1:15" x14ac:dyDescent="0.35">
      <c r="A4" t="s">
        <v>35</v>
      </c>
      <c r="C4" s="10">
        <v>38.538200000000003</v>
      </c>
      <c r="D4">
        <v>49.502400000000002</v>
      </c>
      <c r="E4">
        <f t="shared" si="0"/>
        <v>10.964199999999998</v>
      </c>
      <c r="F4">
        <v>40.167099999999998</v>
      </c>
      <c r="G4">
        <f t="shared" si="1"/>
        <v>1.6288999999999945</v>
      </c>
      <c r="H4" s="14">
        <f t="shared" si="2"/>
        <v>85.143466919611143</v>
      </c>
      <c r="I4" s="14">
        <f t="shared" si="3"/>
        <v>14.856533080388854</v>
      </c>
      <c r="K4">
        <f t="shared" si="4"/>
        <v>100</v>
      </c>
      <c r="L4" s="22"/>
      <c r="M4" s="22"/>
      <c r="N4" s="22"/>
      <c r="O4" s="22"/>
    </row>
    <row r="5" spans="1:15" x14ac:dyDescent="0.35">
      <c r="A5" t="s">
        <v>36</v>
      </c>
      <c r="C5" s="10">
        <v>36.930799999999998</v>
      </c>
      <c r="D5">
        <v>47.4758</v>
      </c>
      <c r="E5">
        <f t="shared" si="0"/>
        <v>10.545000000000002</v>
      </c>
      <c r="F5">
        <v>38.314300000000003</v>
      </c>
      <c r="G5">
        <f t="shared" si="1"/>
        <v>1.3835000000000051</v>
      </c>
      <c r="H5" s="14">
        <f t="shared" si="2"/>
        <v>86.880037932669467</v>
      </c>
      <c r="I5" s="14">
        <f t="shared" si="3"/>
        <v>13.119962067330535</v>
      </c>
      <c r="K5">
        <f t="shared" si="4"/>
        <v>100</v>
      </c>
      <c r="L5" s="21">
        <f t="shared" ref="L5" si="5">MEDIAN(H5,H6,H7)</f>
        <v>86.877377199957834</v>
      </c>
      <c r="M5" s="21">
        <f>MEDIAN(I5,I6,I7)</f>
        <v>13.122622800042173</v>
      </c>
      <c r="N5" s="22"/>
      <c r="O5" s="22"/>
    </row>
    <row r="6" spans="1:15" x14ac:dyDescent="0.35">
      <c r="A6" t="s">
        <v>32</v>
      </c>
      <c r="C6" s="10">
        <v>34.766399999999997</v>
      </c>
      <c r="D6">
        <v>45.204099999999997</v>
      </c>
      <c r="E6">
        <f t="shared" si="0"/>
        <v>10.4377</v>
      </c>
      <c r="F6">
        <v>36.136099999999999</v>
      </c>
      <c r="G6">
        <f t="shared" si="1"/>
        <v>1.3697000000000017</v>
      </c>
      <c r="H6" s="14">
        <f t="shared" si="2"/>
        <v>86.877377199957834</v>
      </c>
      <c r="I6" s="14">
        <f t="shared" si="3"/>
        <v>13.122622800042173</v>
      </c>
      <c r="K6">
        <f t="shared" si="4"/>
        <v>100</v>
      </c>
      <c r="L6" s="22"/>
      <c r="M6" s="22"/>
      <c r="N6" s="22"/>
      <c r="O6" s="22"/>
    </row>
    <row r="7" spans="1:15" x14ac:dyDescent="0.35">
      <c r="A7" t="s">
        <v>33</v>
      </c>
      <c r="C7" s="10">
        <v>36.495899999999999</v>
      </c>
      <c r="D7">
        <v>46.750100000000003</v>
      </c>
      <c r="E7">
        <f t="shared" si="0"/>
        <v>10.254200000000004</v>
      </c>
      <c r="F7">
        <v>37.853999999999999</v>
      </c>
      <c r="G7">
        <f t="shared" si="1"/>
        <v>1.3581000000000003</v>
      </c>
      <c r="H7" s="14">
        <f t="shared" si="2"/>
        <v>86.755670847067549</v>
      </c>
      <c r="I7" s="14">
        <f t="shared" si="3"/>
        <v>13.244329152932455</v>
      </c>
      <c r="K7">
        <f t="shared" si="4"/>
        <v>100</v>
      </c>
      <c r="L7" s="22"/>
      <c r="M7" s="22"/>
      <c r="N7" s="22"/>
      <c r="O7" s="22"/>
    </row>
    <row r="8" spans="1:15" x14ac:dyDescent="0.35">
      <c r="A8" t="s">
        <v>98</v>
      </c>
      <c r="C8" s="10">
        <v>30.768699999999999</v>
      </c>
      <c r="D8" s="17">
        <v>40.376600000000003</v>
      </c>
      <c r="E8">
        <f t="shared" si="0"/>
        <v>9.6079000000000043</v>
      </c>
      <c r="F8" s="17">
        <v>32.112099999999998</v>
      </c>
      <c r="G8">
        <f t="shared" si="1"/>
        <v>1.343399999999999</v>
      </c>
      <c r="H8" s="14">
        <f t="shared" ref="H8:H10" si="6">((E8-G8)/E8)*100</f>
        <v>86.017756221442781</v>
      </c>
      <c r="I8" s="14">
        <f t="shared" ref="I8:I10" si="7">G8/E8 * 100</f>
        <v>13.982243778557212</v>
      </c>
      <c r="K8">
        <f t="shared" ref="K8:K10" si="8">((F8-J8)/F8)*100</f>
        <v>100</v>
      </c>
      <c r="L8" s="15"/>
      <c r="M8" s="15"/>
      <c r="N8" s="15"/>
      <c r="O8" s="15"/>
    </row>
    <row r="9" spans="1:15" x14ac:dyDescent="0.35">
      <c r="A9" t="s">
        <v>99</v>
      </c>
      <c r="C9" s="10">
        <v>43.249600000000001</v>
      </c>
      <c r="D9">
        <v>53.223799999999997</v>
      </c>
      <c r="E9">
        <f t="shared" si="0"/>
        <v>9.9741999999999962</v>
      </c>
      <c r="F9">
        <v>44.709299999999999</v>
      </c>
      <c r="G9">
        <f t="shared" si="1"/>
        <v>1.459699999999998</v>
      </c>
      <c r="H9" s="14">
        <f t="shared" si="6"/>
        <v>85.365242325199034</v>
      </c>
      <c r="I9" s="14">
        <f t="shared" si="7"/>
        <v>14.634757674800971</v>
      </c>
      <c r="K9">
        <f t="shared" si="8"/>
        <v>100</v>
      </c>
      <c r="L9" s="15"/>
      <c r="M9" s="15"/>
      <c r="N9" s="15"/>
      <c r="O9" s="15"/>
    </row>
    <row r="10" spans="1:15" x14ac:dyDescent="0.35">
      <c r="A10" t="s">
        <v>100</v>
      </c>
      <c r="C10" s="10">
        <v>35.223199999999999</v>
      </c>
      <c r="D10">
        <v>46.216999999999999</v>
      </c>
      <c r="E10">
        <f t="shared" si="0"/>
        <v>10.9938</v>
      </c>
      <c r="F10">
        <v>36.899000000000001</v>
      </c>
      <c r="G10">
        <f t="shared" si="1"/>
        <v>1.6758000000000024</v>
      </c>
      <c r="H10" s="14">
        <f t="shared" si="6"/>
        <v>84.756862959122387</v>
      </c>
      <c r="I10" s="14">
        <f t="shared" si="7"/>
        <v>15.243137040877608</v>
      </c>
      <c r="K10">
        <f t="shared" si="8"/>
        <v>100</v>
      </c>
      <c r="L10" s="15"/>
      <c r="M10" s="15"/>
      <c r="N10" s="15"/>
      <c r="O10" s="15"/>
    </row>
    <row r="11" spans="1:15" x14ac:dyDescent="0.35">
      <c r="A11" t="s">
        <v>37</v>
      </c>
      <c r="C11" s="10">
        <v>26.866700000000002</v>
      </c>
      <c r="D11">
        <v>37.081600000000002</v>
      </c>
      <c r="E11">
        <f t="shared" si="0"/>
        <v>10.2149</v>
      </c>
      <c r="F11">
        <v>28.585999999999999</v>
      </c>
      <c r="G11">
        <f t="shared" si="1"/>
        <v>1.7192999999999969</v>
      </c>
      <c r="H11" s="14">
        <f t="shared" si="2"/>
        <v>83.168704539447319</v>
      </c>
      <c r="I11" s="14">
        <f t="shared" si="3"/>
        <v>16.831295460552692</v>
      </c>
      <c r="K11">
        <f t="shared" si="4"/>
        <v>100</v>
      </c>
      <c r="L11" s="21">
        <f t="shared" ref="L11" si="9">MEDIAN(H11,H12,H13)</f>
        <v>83.458972615563539</v>
      </c>
      <c r="M11" s="21">
        <f>MEDIAN(I11,I12,I13)</f>
        <v>16.541027384436454</v>
      </c>
      <c r="N11" s="21">
        <f>AVERAGE(L11,L14)</f>
        <v>83.552243881792862</v>
      </c>
      <c r="O11" s="21">
        <f>AVERAGE(M11,M14)</f>
        <v>16.447756118207138</v>
      </c>
    </row>
    <row r="12" spans="1:15" x14ac:dyDescent="0.35">
      <c r="A12" t="s">
        <v>40</v>
      </c>
      <c r="C12" s="10">
        <v>43.188600000000001</v>
      </c>
      <c r="D12">
        <v>53.3367</v>
      </c>
      <c r="E12">
        <f t="shared" si="0"/>
        <v>10.148099999999999</v>
      </c>
      <c r="F12">
        <v>44.867199999999997</v>
      </c>
      <c r="G12">
        <f t="shared" si="1"/>
        <v>1.6785999999999959</v>
      </c>
      <c r="H12" s="14">
        <f t="shared" si="2"/>
        <v>83.458972615563539</v>
      </c>
      <c r="I12" s="14">
        <f t="shared" si="3"/>
        <v>16.541027384436454</v>
      </c>
      <c r="K12">
        <f t="shared" si="4"/>
        <v>100</v>
      </c>
      <c r="L12" s="22"/>
      <c r="M12" s="22"/>
      <c r="N12" s="22"/>
      <c r="O12" s="22"/>
    </row>
    <row r="13" spans="1:15" x14ac:dyDescent="0.35">
      <c r="A13" t="s">
        <v>39</v>
      </c>
      <c r="C13" s="10">
        <v>28.528300000000002</v>
      </c>
      <c r="D13">
        <v>39.335500000000003</v>
      </c>
      <c r="E13">
        <f t="shared" si="0"/>
        <v>10.807200000000002</v>
      </c>
      <c r="F13">
        <v>30.311800000000002</v>
      </c>
      <c r="G13">
        <f t="shared" si="1"/>
        <v>1.7835000000000001</v>
      </c>
      <c r="H13" s="14">
        <f t="shared" si="2"/>
        <v>83.497113035753941</v>
      </c>
      <c r="I13" s="14">
        <f t="shared" si="3"/>
        <v>16.502886964246056</v>
      </c>
      <c r="K13">
        <f t="shared" si="4"/>
        <v>100</v>
      </c>
      <c r="L13" s="22"/>
      <c r="M13" s="22"/>
      <c r="N13" s="22"/>
      <c r="O13" s="22"/>
    </row>
    <row r="14" spans="1:15" x14ac:dyDescent="0.35">
      <c r="A14" t="s">
        <v>41</v>
      </c>
      <c r="C14" s="10">
        <v>40.726399999999998</v>
      </c>
      <c r="D14">
        <v>51.137</v>
      </c>
      <c r="E14">
        <f t="shared" si="0"/>
        <v>10.410600000000002</v>
      </c>
      <c r="F14">
        <v>42.429000000000002</v>
      </c>
      <c r="G14">
        <f t="shared" si="1"/>
        <v>1.7026000000000039</v>
      </c>
      <c r="H14" s="14">
        <f t="shared" si="2"/>
        <v>83.64551514802217</v>
      </c>
      <c r="I14" s="14">
        <f t="shared" si="3"/>
        <v>16.354484851977826</v>
      </c>
      <c r="K14">
        <f t="shared" si="4"/>
        <v>100</v>
      </c>
      <c r="L14" s="21">
        <f t="shared" ref="L14" si="10">MEDIAN(H14,H15,H16)</f>
        <v>83.64551514802217</v>
      </c>
      <c r="M14" s="21">
        <f>MEDIAN(I14,I15,I16)</f>
        <v>16.354484851977826</v>
      </c>
      <c r="N14" s="22"/>
      <c r="O14" s="22"/>
    </row>
    <row r="15" spans="1:15" x14ac:dyDescent="0.35">
      <c r="A15" t="s">
        <v>38</v>
      </c>
      <c r="C15" s="10">
        <v>35.106699999999996</v>
      </c>
      <c r="D15">
        <v>45.3855</v>
      </c>
      <c r="E15">
        <f t="shared" si="0"/>
        <v>10.278800000000004</v>
      </c>
      <c r="F15">
        <v>36.912100000000002</v>
      </c>
      <c r="G15">
        <f t="shared" si="1"/>
        <v>1.8054000000000059</v>
      </c>
      <c r="H15" s="14">
        <f t="shared" si="2"/>
        <v>82.435692882437579</v>
      </c>
      <c r="I15" s="14">
        <f t="shared" si="3"/>
        <v>17.564307117562411</v>
      </c>
      <c r="K15">
        <f t="shared" si="4"/>
        <v>100</v>
      </c>
      <c r="L15" s="22"/>
      <c r="M15" s="22"/>
      <c r="N15" s="22"/>
      <c r="O15" s="22"/>
    </row>
    <row r="16" spans="1:15" x14ac:dyDescent="0.35">
      <c r="A16" t="s">
        <v>42</v>
      </c>
      <c r="C16" s="10">
        <v>31.014299999999999</v>
      </c>
      <c r="D16">
        <v>41.961500000000001</v>
      </c>
      <c r="E16">
        <f t="shared" si="0"/>
        <v>10.947200000000002</v>
      </c>
      <c r="F16">
        <v>32.741999999999997</v>
      </c>
      <c r="G16">
        <f t="shared" si="1"/>
        <v>1.7276999999999987</v>
      </c>
      <c r="H16" s="14">
        <f t="shared" si="2"/>
        <v>84.217882198187681</v>
      </c>
      <c r="I16" s="14">
        <f t="shared" si="3"/>
        <v>15.782117801812321</v>
      </c>
      <c r="K16">
        <f t="shared" si="4"/>
        <v>100</v>
      </c>
      <c r="L16" s="22"/>
      <c r="M16" s="22"/>
      <c r="N16" s="22"/>
      <c r="O16" s="22"/>
    </row>
    <row r="17" spans="1:15" x14ac:dyDescent="0.35">
      <c r="A17" t="s">
        <v>101</v>
      </c>
      <c r="C17" s="10">
        <v>36.5533</v>
      </c>
      <c r="D17">
        <v>45.957700000000003</v>
      </c>
      <c r="E17">
        <f t="shared" ref="E17:E19" si="11">D17-C17</f>
        <v>9.4044000000000025</v>
      </c>
      <c r="F17">
        <v>38.080100000000002</v>
      </c>
      <c r="G17">
        <f t="shared" si="1"/>
        <v>1.5268000000000015</v>
      </c>
      <c r="H17" s="14">
        <f t="shared" ref="H17:H19" si="12">((E17-G17)/E17)*100</f>
        <v>83.765046148611276</v>
      </c>
      <c r="I17" s="14">
        <f t="shared" ref="I17:I19" si="13">G17/E17 * 100</f>
        <v>16.234953851388724</v>
      </c>
      <c r="K17">
        <f t="shared" ref="K17:K19" si="14">((F17-J17)/F17)*100</f>
        <v>100</v>
      </c>
      <c r="L17" s="15"/>
      <c r="M17" s="15"/>
      <c r="N17" s="15"/>
      <c r="O17" s="15"/>
    </row>
    <row r="18" spans="1:15" x14ac:dyDescent="0.35">
      <c r="A18" t="s">
        <v>102</v>
      </c>
      <c r="C18" s="10">
        <v>40.955599999999997</v>
      </c>
      <c r="D18">
        <v>51.710299999999997</v>
      </c>
      <c r="E18">
        <f t="shared" si="11"/>
        <v>10.7547</v>
      </c>
      <c r="F18">
        <v>42.701700000000002</v>
      </c>
      <c r="G18">
        <f t="shared" si="1"/>
        <v>1.7461000000000055</v>
      </c>
      <c r="H18" s="14">
        <f t="shared" si="12"/>
        <v>83.764307698029654</v>
      </c>
      <c r="I18" s="14">
        <f t="shared" si="13"/>
        <v>16.235692301970353</v>
      </c>
      <c r="K18">
        <f t="shared" si="14"/>
        <v>100</v>
      </c>
      <c r="L18" s="15"/>
      <c r="M18" s="15"/>
      <c r="N18" s="15"/>
      <c r="O18" s="15"/>
    </row>
    <row r="19" spans="1:15" x14ac:dyDescent="0.35">
      <c r="A19" t="s">
        <v>103</v>
      </c>
      <c r="C19" s="10">
        <v>31.215399999999999</v>
      </c>
      <c r="D19">
        <v>41.710099999999997</v>
      </c>
      <c r="E19">
        <f t="shared" si="11"/>
        <v>10.494699999999998</v>
      </c>
      <c r="F19">
        <v>32.979999999999997</v>
      </c>
      <c r="G19">
        <f t="shared" si="1"/>
        <v>1.7645999999999979</v>
      </c>
      <c r="H19" s="14">
        <f t="shared" si="12"/>
        <v>83.185798545932727</v>
      </c>
      <c r="I19" s="14">
        <f t="shared" si="13"/>
        <v>16.814201454067273</v>
      </c>
      <c r="K19">
        <f t="shared" si="14"/>
        <v>100</v>
      </c>
    </row>
    <row r="21" spans="1:15" x14ac:dyDescent="0.35">
      <c r="A21" t="s">
        <v>43</v>
      </c>
      <c r="C21" s="9" t="s">
        <v>51</v>
      </c>
      <c r="D21" s="9" t="s">
        <v>55</v>
      </c>
      <c r="E21" s="9" t="s">
        <v>56</v>
      </c>
      <c r="F21" s="9" t="s">
        <v>57</v>
      </c>
      <c r="G21" s="9" t="s">
        <v>70</v>
      </c>
      <c r="H21" s="9" t="s">
        <v>79</v>
      </c>
      <c r="I21" s="9" t="s">
        <v>94</v>
      </c>
      <c r="J21" s="9" t="s">
        <v>84</v>
      </c>
      <c r="K21" s="9" t="s">
        <v>83</v>
      </c>
      <c r="L21" s="8" t="s">
        <v>93</v>
      </c>
      <c r="M21" s="8" t="s">
        <v>95</v>
      </c>
      <c r="N21" s="8" t="s">
        <v>96</v>
      </c>
      <c r="O21" s="8" t="s">
        <v>97</v>
      </c>
    </row>
    <row r="22" spans="1:15" x14ac:dyDescent="0.35">
      <c r="A22" t="s">
        <v>58</v>
      </c>
      <c r="C22" s="10">
        <v>31.5656</v>
      </c>
      <c r="D22" s="19">
        <v>32.83</v>
      </c>
      <c r="E22">
        <f t="shared" ref="E22:E39" si="15">D22-C22</f>
        <v>1.2643999999999984</v>
      </c>
      <c r="F22">
        <v>31.776900000000001</v>
      </c>
      <c r="G22">
        <f>F22-C22</f>
        <v>0.21130000000000138</v>
      </c>
      <c r="H22" s="13">
        <f>(G22/E22)*100</f>
        <v>16.71148370768757</v>
      </c>
      <c r="I22" s="13">
        <f>(100-H22)</f>
        <v>83.288516292312437</v>
      </c>
      <c r="J22">
        <v>39.420200000000001</v>
      </c>
      <c r="K22">
        <f>((F22-J22)/F22)*100</f>
        <v>-24.05300705858658</v>
      </c>
      <c r="L22" s="20">
        <f>MEDIAN(H22,H23,H24)</f>
        <v>16.71148370768757</v>
      </c>
      <c r="M22" s="20">
        <f>MEDIAN(I22,I23,I24)</f>
        <v>83.288516292312437</v>
      </c>
      <c r="N22" s="20">
        <f>AVERAGE(L22,L25)</f>
        <v>17.593487701189183</v>
      </c>
      <c r="O22" s="20">
        <f>AVERAGE(M22,M25)</f>
        <v>82.406512298810824</v>
      </c>
    </row>
    <row r="23" spans="1:15" x14ac:dyDescent="0.35">
      <c r="A23" t="s">
        <v>59</v>
      </c>
      <c r="C23" s="10">
        <v>34.639499999999998</v>
      </c>
      <c r="D23" s="18">
        <v>35.729799999999997</v>
      </c>
      <c r="E23">
        <f t="shared" si="15"/>
        <v>1.0902999999999992</v>
      </c>
      <c r="F23">
        <v>34.8095</v>
      </c>
      <c r="G23">
        <f t="shared" ref="G23:G39" si="16">F23-C23</f>
        <v>0.17000000000000171</v>
      </c>
      <c r="H23" s="13">
        <f t="shared" ref="H23:H36" si="17">(G23/E23)*100</f>
        <v>15.592038888379514</v>
      </c>
      <c r="I23" s="13">
        <f t="shared" ref="I23:I36" si="18">(100-H23)</f>
        <v>84.40796111162048</v>
      </c>
      <c r="K23">
        <f t="shared" ref="K23:K36" si="19">((F23-J23)/F23)*100</f>
        <v>100</v>
      </c>
      <c r="L23" s="20"/>
      <c r="M23" s="20"/>
      <c r="N23" s="20"/>
      <c r="O23" s="20"/>
    </row>
    <row r="24" spans="1:15" x14ac:dyDescent="0.35">
      <c r="A24" t="s">
        <v>60</v>
      </c>
      <c r="C24" s="10">
        <v>39.223999999999997</v>
      </c>
      <c r="D24" s="18">
        <v>40.522599999999997</v>
      </c>
      <c r="E24">
        <f t="shared" si="15"/>
        <v>1.2986000000000004</v>
      </c>
      <c r="F24">
        <v>39.441600000000001</v>
      </c>
      <c r="G24">
        <f t="shared" si="16"/>
        <v>0.21760000000000446</v>
      </c>
      <c r="H24" s="13">
        <f t="shared" si="17"/>
        <v>16.756507007546926</v>
      </c>
      <c r="I24" s="13">
        <f t="shared" si="18"/>
        <v>83.243492992453071</v>
      </c>
      <c r="K24">
        <f t="shared" si="19"/>
        <v>100</v>
      </c>
      <c r="L24" s="20"/>
      <c r="M24" s="20"/>
      <c r="N24" s="20"/>
      <c r="O24" s="20"/>
    </row>
    <row r="25" spans="1:15" x14ac:dyDescent="0.35">
      <c r="A25" t="s">
        <v>61</v>
      </c>
      <c r="C25" s="10">
        <v>37.370899999999999</v>
      </c>
      <c r="D25" s="18">
        <v>38.414700000000003</v>
      </c>
      <c r="E25">
        <f t="shared" si="15"/>
        <v>1.0438000000000045</v>
      </c>
      <c r="F25">
        <v>37.567900000000002</v>
      </c>
      <c r="G25">
        <f t="shared" si="16"/>
        <v>0.19700000000000273</v>
      </c>
      <c r="H25" s="13">
        <f>(G25/E25)*100</f>
        <v>18.873347384556606</v>
      </c>
      <c r="I25" s="13">
        <f t="shared" si="18"/>
        <v>81.12665261544339</v>
      </c>
      <c r="K25">
        <f t="shared" si="19"/>
        <v>100</v>
      </c>
      <c r="L25" s="20">
        <f t="shared" ref="L25" si="20">MEDIAN(H25,H26,H27)</f>
        <v>18.475491694690792</v>
      </c>
      <c r="M25" s="20">
        <f>MEDIAN(I25,I26,I27)</f>
        <v>81.524508305309212</v>
      </c>
      <c r="N25" s="20"/>
      <c r="O25" s="20"/>
    </row>
    <row r="26" spans="1:15" x14ac:dyDescent="0.35">
      <c r="A26" t="s">
        <v>62</v>
      </c>
      <c r="C26" s="10">
        <v>38.033799999999999</v>
      </c>
      <c r="D26" s="18">
        <v>39.015099999999997</v>
      </c>
      <c r="E26">
        <f t="shared" si="15"/>
        <v>0.9812999999999974</v>
      </c>
      <c r="F26">
        <v>38.2151</v>
      </c>
      <c r="G26">
        <f t="shared" si="16"/>
        <v>0.18130000000000024</v>
      </c>
      <c r="H26" s="13">
        <f>(G26/E26)*100</f>
        <v>18.475491694690792</v>
      </c>
      <c r="I26" s="13">
        <f t="shared" si="18"/>
        <v>81.524508305309212</v>
      </c>
      <c r="K26">
        <f t="shared" si="19"/>
        <v>100</v>
      </c>
      <c r="L26" s="20"/>
      <c r="M26" s="20"/>
      <c r="N26" s="20"/>
      <c r="O26" s="20"/>
    </row>
    <row r="27" spans="1:15" x14ac:dyDescent="0.35">
      <c r="A27" t="s">
        <v>63</v>
      </c>
      <c r="C27" s="10">
        <v>40.887900000000002</v>
      </c>
      <c r="D27" s="18">
        <v>41.988399999999999</v>
      </c>
      <c r="E27">
        <f t="shared" si="15"/>
        <v>1.1004999999999967</v>
      </c>
      <c r="F27">
        <v>41.088500000000003</v>
      </c>
      <c r="G27">
        <f t="shared" si="16"/>
        <v>0.20060000000000144</v>
      </c>
      <c r="H27" s="13">
        <f t="shared" si="17"/>
        <v>18.228078146297324</v>
      </c>
      <c r="I27" s="13">
        <f t="shared" si="18"/>
        <v>81.771921853702679</v>
      </c>
      <c r="K27">
        <f t="shared" si="19"/>
        <v>100</v>
      </c>
      <c r="L27" s="20"/>
      <c r="M27" s="20"/>
      <c r="N27" s="20"/>
      <c r="O27" s="20"/>
    </row>
    <row r="28" spans="1:15" x14ac:dyDescent="0.35">
      <c r="A28" t="s">
        <v>104</v>
      </c>
      <c r="C28" s="17">
        <v>39.409500000000001</v>
      </c>
      <c r="D28" s="18">
        <v>40.7361</v>
      </c>
      <c r="E28">
        <f t="shared" si="15"/>
        <v>1.3265999999999991</v>
      </c>
      <c r="F28" s="17">
        <v>39.669400000000003</v>
      </c>
      <c r="G28">
        <f t="shared" ref="G28:G30" si="21">F28-C28</f>
        <v>0.2599000000000018</v>
      </c>
      <c r="H28" s="13">
        <f t="shared" ref="H28:H30" si="22">(G28/E28)*100</f>
        <v>19.591436755616009</v>
      </c>
      <c r="I28" s="13">
        <f t="shared" ref="I28:I30" si="23">(100-H28)</f>
        <v>80.408563244383998</v>
      </c>
      <c r="K28">
        <f t="shared" ref="K28:K30" si="24">((F28-J28)/F28)*100</f>
        <v>100</v>
      </c>
      <c r="L28" s="16"/>
      <c r="M28" s="16"/>
      <c r="N28" s="16"/>
      <c r="O28" s="16"/>
    </row>
    <row r="29" spans="1:15" x14ac:dyDescent="0.35">
      <c r="A29" t="s">
        <v>105</v>
      </c>
      <c r="C29" s="10">
        <v>38.215200000000003</v>
      </c>
      <c r="D29" s="18">
        <v>39.671999999999997</v>
      </c>
      <c r="E29">
        <f>D26-C29</f>
        <v>0.79989999999999384</v>
      </c>
      <c r="F29">
        <v>38.485100000000003</v>
      </c>
      <c r="G29">
        <f t="shared" si="21"/>
        <v>0.26989999999999981</v>
      </c>
      <c r="H29" s="13">
        <f t="shared" si="22"/>
        <v>33.741717714714575</v>
      </c>
      <c r="I29" s="13">
        <f t="shared" si="23"/>
        <v>66.258282285285418</v>
      </c>
      <c r="K29">
        <f t="shared" si="24"/>
        <v>100</v>
      </c>
      <c r="L29" s="16"/>
      <c r="M29" s="16"/>
      <c r="N29" s="16"/>
      <c r="O29" s="16"/>
    </row>
    <row r="30" spans="1:15" x14ac:dyDescent="0.35">
      <c r="A30" t="s">
        <v>106</v>
      </c>
      <c r="C30" s="10">
        <v>42.735500000000002</v>
      </c>
      <c r="D30" s="18">
        <v>43.923299999999998</v>
      </c>
      <c r="E30">
        <f t="shared" si="15"/>
        <v>1.1877999999999957</v>
      </c>
      <c r="F30">
        <v>42.951999999999998</v>
      </c>
      <c r="G30">
        <f t="shared" si="21"/>
        <v>0.21649999999999636</v>
      </c>
      <c r="H30" s="13">
        <f t="shared" si="22"/>
        <v>18.226974238086978</v>
      </c>
      <c r="I30" s="13">
        <f t="shared" si="23"/>
        <v>81.773025761913019</v>
      </c>
      <c r="K30">
        <f t="shared" si="24"/>
        <v>100</v>
      </c>
      <c r="L30" s="16"/>
      <c r="M30" s="16"/>
      <c r="N30" s="16"/>
      <c r="O30" s="16"/>
    </row>
    <row r="31" spans="1:15" x14ac:dyDescent="0.35">
      <c r="A31" t="s">
        <v>64</v>
      </c>
      <c r="C31" s="10">
        <v>39.209600000000002</v>
      </c>
      <c r="D31" s="18">
        <v>40.570999999999998</v>
      </c>
      <c r="E31">
        <f t="shared" si="15"/>
        <v>1.3613999999999962</v>
      </c>
      <c r="F31">
        <v>39.493299999999998</v>
      </c>
      <c r="G31">
        <f t="shared" si="16"/>
        <v>0.28369999999999607</v>
      </c>
      <c r="H31" s="13">
        <f t="shared" si="17"/>
        <v>20.838842368150203</v>
      </c>
      <c r="I31" s="13">
        <f t="shared" si="18"/>
        <v>79.16115763184979</v>
      </c>
      <c r="K31">
        <f t="shared" si="19"/>
        <v>100</v>
      </c>
      <c r="L31" s="20">
        <f t="shared" ref="L31" si="25">MEDIAN(H31,H32,H33)</f>
        <v>20.838842368150203</v>
      </c>
      <c r="M31" s="20">
        <f>MEDIAN(I31,I32,I33)</f>
        <v>79.16115763184979</v>
      </c>
      <c r="N31" s="20">
        <f>AVERAGE(L31,L34)</f>
        <v>21.094474881528392</v>
      </c>
      <c r="O31" s="20">
        <f>AVERAGE(M31,M34)</f>
        <v>78.905525118471601</v>
      </c>
    </row>
    <row r="32" spans="1:15" x14ac:dyDescent="0.35">
      <c r="A32" t="s">
        <v>65</v>
      </c>
      <c r="C32" s="10">
        <v>40.567700000000002</v>
      </c>
      <c r="D32" s="18">
        <v>41.948</v>
      </c>
      <c r="E32">
        <f t="shared" si="15"/>
        <v>1.3802999999999983</v>
      </c>
      <c r="F32">
        <v>40.861499999999999</v>
      </c>
      <c r="G32">
        <f t="shared" si="16"/>
        <v>0.2937999999999974</v>
      </c>
      <c r="H32" s="13">
        <f t="shared" si="17"/>
        <v>21.285227849018167</v>
      </c>
      <c r="I32" s="13">
        <f t="shared" si="18"/>
        <v>78.71477215098183</v>
      </c>
      <c r="K32">
        <f t="shared" si="19"/>
        <v>100</v>
      </c>
      <c r="L32" s="20"/>
      <c r="M32" s="20"/>
      <c r="N32" s="20"/>
      <c r="O32" s="20"/>
    </row>
    <row r="33" spans="1:15" x14ac:dyDescent="0.35">
      <c r="A33" t="s">
        <v>66</v>
      </c>
      <c r="C33" s="10">
        <v>41.709499999999998</v>
      </c>
      <c r="D33" s="18">
        <v>42.806899999999999</v>
      </c>
      <c r="E33">
        <f t="shared" si="15"/>
        <v>1.0974000000000004</v>
      </c>
      <c r="F33">
        <v>41.932600000000001</v>
      </c>
      <c r="G33">
        <f t="shared" si="16"/>
        <v>0.2231000000000023</v>
      </c>
      <c r="H33" s="13">
        <f t="shared" si="17"/>
        <v>20.329870603244235</v>
      </c>
      <c r="I33" s="13">
        <f t="shared" si="18"/>
        <v>79.670129396755769</v>
      </c>
      <c r="K33">
        <f t="shared" si="19"/>
        <v>100</v>
      </c>
      <c r="L33" s="20"/>
      <c r="M33" s="20"/>
      <c r="N33" s="20"/>
      <c r="O33" s="20"/>
    </row>
    <row r="34" spans="1:15" x14ac:dyDescent="0.35">
      <c r="A34" t="s">
        <v>67</v>
      </c>
      <c r="C34" s="10">
        <v>35.6556</v>
      </c>
      <c r="D34" s="18">
        <v>36.798000000000002</v>
      </c>
      <c r="E34">
        <f t="shared" si="15"/>
        <v>1.1424000000000021</v>
      </c>
      <c r="F34">
        <v>35.903799999999997</v>
      </c>
      <c r="G34">
        <f t="shared" si="16"/>
        <v>0.24819999999999709</v>
      </c>
      <c r="H34" s="13">
        <f t="shared" si="17"/>
        <v>21.726190476190183</v>
      </c>
      <c r="I34" s="13">
        <f t="shared" si="18"/>
        <v>78.273809523809817</v>
      </c>
      <c r="K34">
        <f t="shared" si="19"/>
        <v>100</v>
      </c>
      <c r="L34" s="20">
        <f t="shared" ref="L34" si="26">MEDIAN(H34,H35,H36)</f>
        <v>21.35010739490658</v>
      </c>
      <c r="M34" s="20">
        <f>MEDIAN(I34,I35,I36)</f>
        <v>78.649892605093413</v>
      </c>
      <c r="N34" s="20"/>
      <c r="O34" s="20"/>
    </row>
    <row r="35" spans="1:15" x14ac:dyDescent="0.35">
      <c r="A35" t="s">
        <v>68</v>
      </c>
      <c r="C35" s="10">
        <v>33.5824</v>
      </c>
      <c r="D35" s="18">
        <v>35.2119</v>
      </c>
      <c r="E35">
        <f t="shared" si="15"/>
        <v>1.6295000000000002</v>
      </c>
      <c r="F35">
        <v>33.930300000000003</v>
      </c>
      <c r="G35">
        <f t="shared" si="16"/>
        <v>0.34790000000000276</v>
      </c>
      <c r="H35" s="13">
        <f t="shared" si="17"/>
        <v>21.35010739490658</v>
      </c>
      <c r="I35" s="13">
        <f t="shared" si="18"/>
        <v>78.649892605093413</v>
      </c>
      <c r="K35">
        <f t="shared" si="19"/>
        <v>100</v>
      </c>
      <c r="L35" s="20"/>
      <c r="M35" s="20"/>
      <c r="N35" s="20"/>
      <c r="O35" s="20"/>
    </row>
    <row r="36" spans="1:15" x14ac:dyDescent="0.35">
      <c r="A36" t="s">
        <v>69</v>
      </c>
      <c r="C36" s="10">
        <v>32.6646</v>
      </c>
      <c r="D36" s="18">
        <v>34.208100000000002</v>
      </c>
      <c r="E36">
        <f t="shared" si="15"/>
        <v>1.5435000000000016</v>
      </c>
      <c r="F36">
        <v>32.973399999999998</v>
      </c>
      <c r="G36">
        <f t="shared" si="16"/>
        <v>0.30879999999999797</v>
      </c>
      <c r="H36" s="13">
        <f t="shared" si="17"/>
        <v>20.006478781988832</v>
      </c>
      <c r="I36" s="13">
        <f t="shared" si="18"/>
        <v>79.993521218011168</v>
      </c>
      <c r="K36">
        <f t="shared" si="19"/>
        <v>100</v>
      </c>
      <c r="L36" s="20"/>
      <c r="M36" s="20"/>
      <c r="N36" s="20"/>
      <c r="O36" s="20"/>
    </row>
    <row r="37" spans="1:15" x14ac:dyDescent="0.35">
      <c r="A37" t="s">
        <v>107</v>
      </c>
      <c r="C37" s="10">
        <v>40.849899999999998</v>
      </c>
      <c r="D37" s="18">
        <v>42.411999999999999</v>
      </c>
      <c r="E37">
        <f t="shared" si="15"/>
        <v>1.5621000000000009</v>
      </c>
      <c r="F37">
        <v>41.188499999999998</v>
      </c>
      <c r="G37">
        <f t="shared" si="16"/>
        <v>0.33859999999999957</v>
      </c>
      <c r="H37" s="13">
        <f t="shared" ref="H37:H39" si="27">(G37/E37)*100</f>
        <v>21.675949042954954</v>
      </c>
      <c r="I37" s="13">
        <f t="shared" ref="I37:I39" si="28">(100-H37)</f>
        <v>78.324050957045046</v>
      </c>
      <c r="K37">
        <f t="shared" ref="K37:K39" si="29">((F37-J37)/F37)*100</f>
        <v>100</v>
      </c>
      <c r="L37" s="16"/>
      <c r="M37" s="16"/>
      <c r="N37" s="16"/>
      <c r="O37" s="16"/>
    </row>
    <row r="38" spans="1:15" x14ac:dyDescent="0.35">
      <c r="A38" t="s">
        <v>108</v>
      </c>
      <c r="C38" s="10">
        <v>35.003900000000002</v>
      </c>
      <c r="D38" s="18">
        <v>36.780900000000003</v>
      </c>
      <c r="E38">
        <f t="shared" si="15"/>
        <v>1.777000000000001</v>
      </c>
      <c r="F38">
        <v>35.367400000000004</v>
      </c>
      <c r="G38">
        <f t="shared" si="16"/>
        <v>0.36350000000000193</v>
      </c>
      <c r="H38" s="13">
        <f t="shared" si="27"/>
        <v>20.455824423185241</v>
      </c>
      <c r="I38" s="13">
        <f t="shared" si="28"/>
        <v>79.544175576814752</v>
      </c>
      <c r="K38">
        <f t="shared" si="29"/>
        <v>100</v>
      </c>
      <c r="L38" s="16"/>
      <c r="M38" s="16"/>
      <c r="N38" s="16"/>
      <c r="O38" s="16"/>
    </row>
    <row r="39" spans="1:15" x14ac:dyDescent="0.35">
      <c r="A39" t="s">
        <v>109</v>
      </c>
      <c r="C39" s="10">
        <v>44.7149</v>
      </c>
      <c r="D39" s="18">
        <v>45.999099999999999</v>
      </c>
      <c r="E39">
        <f t="shared" si="15"/>
        <v>1.2841999999999985</v>
      </c>
      <c r="F39">
        <v>45.024700000000003</v>
      </c>
      <c r="G39">
        <f t="shared" si="16"/>
        <v>0.30980000000000274</v>
      </c>
      <c r="H39" s="13">
        <f t="shared" si="27"/>
        <v>24.123968229248021</v>
      </c>
      <c r="I39" s="13">
        <f t="shared" si="28"/>
        <v>75.876031770751979</v>
      </c>
      <c r="K39">
        <f t="shared" si="29"/>
        <v>100</v>
      </c>
    </row>
    <row r="40" spans="1:15" x14ac:dyDescent="0.35">
      <c r="H40" s="13"/>
      <c r="I40" s="13"/>
    </row>
    <row r="42" spans="1:15" x14ac:dyDescent="0.35">
      <c r="A42" t="s">
        <v>72</v>
      </c>
    </row>
    <row r="43" spans="1:15" x14ac:dyDescent="0.35">
      <c r="N43" s="14">
        <v>85.829806145605147</v>
      </c>
      <c r="O43" s="13">
        <v>70.966058841483317</v>
      </c>
    </row>
    <row r="44" spans="1:15" x14ac:dyDescent="0.35">
      <c r="A44" s="8" t="s">
        <v>77</v>
      </c>
      <c r="B44" s="8"/>
      <c r="O44" s="13"/>
    </row>
    <row r="45" spans="1:15" x14ac:dyDescent="0.35">
      <c r="A45" t="s">
        <v>75</v>
      </c>
      <c r="O45" s="13"/>
    </row>
    <row r="46" spans="1:15" x14ac:dyDescent="0.35">
      <c r="A46" t="s">
        <v>73</v>
      </c>
      <c r="C46" t="s">
        <v>76</v>
      </c>
      <c r="O46" s="13"/>
    </row>
    <row r="47" spans="1:15" x14ac:dyDescent="0.35">
      <c r="A47" t="s">
        <v>31</v>
      </c>
      <c r="C47" t="s">
        <v>36</v>
      </c>
      <c r="O47" s="13"/>
    </row>
    <row r="48" spans="1:15" x14ac:dyDescent="0.35">
      <c r="A48" t="s">
        <v>34</v>
      </c>
      <c r="C48" t="s">
        <v>32</v>
      </c>
      <c r="O48" s="13"/>
    </row>
    <row r="49" spans="1:15" x14ac:dyDescent="0.35">
      <c r="A49" t="s">
        <v>35</v>
      </c>
      <c r="C49" t="s">
        <v>33</v>
      </c>
    </row>
    <row r="50" spans="1:15" x14ac:dyDescent="0.35">
      <c r="O50" s="13">
        <v>85.743239780100453</v>
      </c>
    </row>
    <row r="51" spans="1:15" x14ac:dyDescent="0.35">
      <c r="A51" t="s">
        <v>74</v>
      </c>
      <c r="O51" s="13"/>
    </row>
    <row r="52" spans="1:15" x14ac:dyDescent="0.35">
      <c r="A52" t="s">
        <v>73</v>
      </c>
      <c r="C52" t="s">
        <v>76</v>
      </c>
      <c r="O52" s="13"/>
    </row>
    <row r="53" spans="1:15" x14ac:dyDescent="0.35">
      <c r="A53" t="s">
        <v>37</v>
      </c>
      <c r="C53" t="s">
        <v>41</v>
      </c>
      <c r="O53" s="13"/>
    </row>
    <row r="54" spans="1:15" x14ac:dyDescent="0.35">
      <c r="A54" t="s">
        <v>40</v>
      </c>
      <c r="C54" t="s">
        <v>38</v>
      </c>
      <c r="O54" s="13"/>
    </row>
    <row r="55" spans="1:15" x14ac:dyDescent="0.35">
      <c r="A55" t="s">
        <v>39</v>
      </c>
      <c r="C55" t="s">
        <v>42</v>
      </c>
      <c r="O55" s="13"/>
    </row>
    <row r="56" spans="1:15" x14ac:dyDescent="0.35">
      <c r="A56" s="9" t="s">
        <v>78</v>
      </c>
      <c r="B56" s="9"/>
    </row>
    <row r="57" spans="1:15" x14ac:dyDescent="0.35">
      <c r="A57" t="s">
        <v>75</v>
      </c>
    </row>
    <row r="58" spans="1:15" x14ac:dyDescent="0.35">
      <c r="A58" t="s">
        <v>73</v>
      </c>
      <c r="C58" t="s">
        <v>76</v>
      </c>
    </row>
    <row r="59" spans="1:15" x14ac:dyDescent="0.35">
      <c r="A59" t="s">
        <v>58</v>
      </c>
      <c r="C59" t="s">
        <v>61</v>
      </c>
    </row>
    <row r="60" spans="1:15" x14ac:dyDescent="0.35">
      <c r="A60" t="s">
        <v>59</v>
      </c>
      <c r="C60" t="s">
        <v>62</v>
      </c>
    </row>
    <row r="61" spans="1:15" x14ac:dyDescent="0.35">
      <c r="A61" t="s">
        <v>60</v>
      </c>
      <c r="C61" t="s">
        <v>63</v>
      </c>
    </row>
    <row r="63" spans="1:15" x14ac:dyDescent="0.35">
      <c r="A63" t="s">
        <v>74</v>
      </c>
    </row>
    <row r="64" spans="1:15" x14ac:dyDescent="0.35">
      <c r="A64" t="s">
        <v>73</v>
      </c>
      <c r="C64" t="s">
        <v>76</v>
      </c>
    </row>
    <row r="65" spans="1:3" x14ac:dyDescent="0.35">
      <c r="A65" t="s">
        <v>64</v>
      </c>
      <c r="C65" t="s">
        <v>67</v>
      </c>
    </row>
    <row r="66" spans="1:3" x14ac:dyDescent="0.35">
      <c r="A66" t="s">
        <v>65</v>
      </c>
      <c r="C66" t="s">
        <v>68</v>
      </c>
    </row>
    <row r="67" spans="1:3" x14ac:dyDescent="0.35">
      <c r="A67" t="s">
        <v>66</v>
      </c>
      <c r="C67" t="s">
        <v>69</v>
      </c>
    </row>
  </sheetData>
  <mergeCells count="24">
    <mergeCell ref="N2:N7"/>
    <mergeCell ref="O2:O7"/>
    <mergeCell ref="N11:N16"/>
    <mergeCell ref="O11:O16"/>
    <mergeCell ref="L22:L24"/>
    <mergeCell ref="M22:M24"/>
    <mergeCell ref="N22:N27"/>
    <mergeCell ref="O22:O27"/>
    <mergeCell ref="L25:L27"/>
    <mergeCell ref="M25:M27"/>
    <mergeCell ref="L2:L4"/>
    <mergeCell ref="L5:L7"/>
    <mergeCell ref="L11:L13"/>
    <mergeCell ref="L14:L16"/>
    <mergeCell ref="M2:M4"/>
    <mergeCell ref="M5:M7"/>
    <mergeCell ref="O31:O36"/>
    <mergeCell ref="L34:L36"/>
    <mergeCell ref="M34:M36"/>
    <mergeCell ref="M11:M13"/>
    <mergeCell ref="M14:M16"/>
    <mergeCell ref="L31:L33"/>
    <mergeCell ref="M31:M33"/>
    <mergeCell ref="N31:N36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3C6C-22A0-4F19-BCC0-C5B6D3C95661}">
  <dimension ref="A1:B27"/>
  <sheetViews>
    <sheetView workbookViewId="0">
      <selection activeCell="E13" sqref="E13"/>
    </sheetView>
  </sheetViews>
  <sheetFormatPr baseColWidth="10" defaultRowHeight="14.5" x14ac:dyDescent="0.35"/>
  <cols>
    <col min="1" max="1" width="90.1796875" bestFit="1" customWidth="1"/>
    <col min="2" max="2" width="18.7265625" bestFit="1" customWidth="1"/>
  </cols>
  <sheetData>
    <row r="1" spans="1:2" x14ac:dyDescent="0.35">
      <c r="A1" t="s">
        <v>110</v>
      </c>
      <c r="B1" t="s">
        <v>48</v>
      </c>
    </row>
    <row r="2" spans="1:2" x14ac:dyDescent="0.35">
      <c r="A2" t="s">
        <v>87</v>
      </c>
      <c r="B2" t="s">
        <v>86</v>
      </c>
    </row>
    <row r="3" spans="1:2" x14ac:dyDescent="0.35">
      <c r="A3" t="s">
        <v>80</v>
      </c>
      <c r="B3" t="s">
        <v>81</v>
      </c>
    </row>
    <row r="4" spans="1:2" x14ac:dyDescent="0.35">
      <c r="A4" s="11" t="s">
        <v>85</v>
      </c>
    </row>
    <row r="11" spans="1:2" x14ac:dyDescent="0.35">
      <c r="A11" s="12"/>
    </row>
    <row r="20" spans="1:1" x14ac:dyDescent="0.35">
      <c r="A20" s="11"/>
    </row>
    <row r="27" spans="1:1" x14ac:dyDescent="0.35">
      <c r="A27" s="1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Procedure</vt:lpstr>
      <vt:lpstr>Data</vt:lpstr>
      <vt:lpstr>Equipement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Cerdas</cp:lastModifiedBy>
  <dcterms:created xsi:type="dcterms:W3CDTF">2025-10-24T18:47:22Z</dcterms:created>
  <dcterms:modified xsi:type="dcterms:W3CDTF">2026-10-08T01:05:51Z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2025-10-24T19:02:41Z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68988219-60ed-41e1-a20e-659ab9e86b43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</Properties>
</file>