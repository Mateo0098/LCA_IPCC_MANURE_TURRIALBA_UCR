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saul_brenes_ucr_ac_cr/Documents/Documentos/La Lecheria/Semovientes/Inventarios/2024/"/>
    </mc:Choice>
  </mc:AlternateContent>
  <xr:revisionPtr revIDLastSave="721" documentId="8_{A5A4B4E1-9AD3-4E98-BD90-B4032116E025}" xr6:coauthVersionLast="47" xr6:coauthVersionMax="47" xr10:uidLastSave="{3C001DBC-F835-494A-922F-8792027F300C}"/>
  <bookViews>
    <workbookView xWindow="-110" yWindow="-110" windowWidth="19420" windowHeight="10300" activeTab="1" xr2:uid="{00000000-000D-0000-FFFF-FFFF00000000}"/>
  </bookViews>
  <sheets>
    <sheet name="Historico" sheetId="1" r:id="rId1"/>
    <sheet name="Formulario OAF" sheetId="2" r:id="rId2"/>
    <sheet name="En producción SBG" sheetId="6" r:id="rId3"/>
    <sheet name="Hoja1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E49" i="2"/>
  <c r="G4" i="6"/>
  <c r="H4" i="6"/>
  <c r="I4" i="6"/>
  <c r="J4" i="6"/>
  <c r="K4" i="6"/>
  <c r="F4" i="6"/>
  <c r="D4" i="6"/>
  <c r="E4" i="6"/>
  <c r="E51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50" i="2"/>
  <c r="E52" i="2"/>
  <c r="E53" i="2"/>
  <c r="E54" i="2"/>
  <c r="E55" i="2"/>
  <c r="E56" i="2"/>
  <c r="E57" i="2"/>
  <c r="E58" i="2"/>
  <c r="E59" i="2"/>
  <c r="E60" i="2"/>
  <c r="E61" i="2"/>
  <c r="E62" i="2"/>
  <c r="E4" i="2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I3" i="2"/>
  <c r="A3" i="2"/>
  <c r="J3" i="2"/>
  <c r="M49" i="6" l="1"/>
</calcChain>
</file>

<file path=xl/sharedStrings.xml><?xml version="1.0" encoding="utf-8"?>
<sst xmlns="http://schemas.openxmlformats.org/spreadsheetml/2006/main" count="934" uniqueCount="193">
  <si>
    <t xml:space="preserve">Sexo </t>
  </si>
  <si>
    <t xml:space="preserve">Origen </t>
  </si>
  <si>
    <t>Hembra</t>
  </si>
  <si>
    <t>Nacida en finca</t>
  </si>
  <si>
    <t>Macho</t>
  </si>
  <si>
    <t>Murío 13-3-2020</t>
  </si>
  <si>
    <t>Murío 21-1-2020</t>
  </si>
  <si>
    <t>Murío 3-3-2020</t>
  </si>
  <si>
    <t>Nacido en finca</t>
  </si>
  <si>
    <t>Murio 27-3-2020</t>
  </si>
  <si>
    <t>Murío 18-5-2020</t>
  </si>
  <si>
    <t>Murío 4-11-2020</t>
  </si>
  <si>
    <t>Murío  26-10-2020</t>
  </si>
  <si>
    <t>Murío 11-10-2020</t>
  </si>
  <si>
    <t>0409</t>
  </si>
  <si>
    <t>0908</t>
  </si>
  <si>
    <t>0910</t>
  </si>
  <si>
    <t>0611</t>
  </si>
  <si>
    <t>0812</t>
  </si>
  <si>
    <t>0412</t>
  </si>
  <si>
    <t>0313</t>
  </si>
  <si>
    <t>0813</t>
  </si>
  <si>
    <t>0215</t>
  </si>
  <si>
    <t>0615</t>
  </si>
  <si>
    <t>0715</t>
  </si>
  <si>
    <t>0815</t>
  </si>
  <si>
    <t>0617</t>
  </si>
  <si>
    <t>0118</t>
  </si>
  <si>
    <t>0120</t>
  </si>
  <si>
    <t>0220</t>
  </si>
  <si>
    <t>0320</t>
  </si>
  <si>
    <t>0420</t>
  </si>
  <si>
    <t>0520</t>
  </si>
  <si>
    <t>0620</t>
  </si>
  <si>
    <t>0720</t>
  </si>
  <si>
    <t>0820</t>
  </si>
  <si>
    <t>0920</t>
  </si>
  <si>
    <t>0509</t>
  </si>
  <si>
    <t xml:space="preserve">Marca </t>
  </si>
  <si>
    <t>Peso                  Kg</t>
  </si>
  <si>
    <t>Valor Est.      ₡</t>
  </si>
  <si>
    <t xml:space="preserve">Inventario de Semovientes </t>
  </si>
  <si>
    <t>Remate 01-21</t>
  </si>
  <si>
    <t>Condición</t>
  </si>
  <si>
    <t>2020</t>
  </si>
  <si>
    <t>2220</t>
  </si>
  <si>
    <t>2320</t>
  </si>
  <si>
    <t>trestetas</t>
  </si>
  <si>
    <t>Muerto</t>
  </si>
  <si>
    <t>1920</t>
  </si>
  <si>
    <t>Murio 22-12-20</t>
  </si>
  <si>
    <t>H</t>
  </si>
  <si>
    <t>M</t>
  </si>
  <si>
    <t>0121</t>
  </si>
  <si>
    <t>0221</t>
  </si>
  <si>
    <t>0321</t>
  </si>
  <si>
    <t>Fecha Nac.</t>
  </si>
  <si>
    <t>Padre</t>
  </si>
  <si>
    <t>Madre</t>
  </si>
  <si>
    <t>0521</t>
  </si>
  <si>
    <t>Arete</t>
  </si>
  <si>
    <t>0621</t>
  </si>
  <si>
    <t>Remate 05-10-21</t>
  </si>
  <si>
    <t>Murio 26-5-21</t>
  </si>
  <si>
    <t>0421</t>
  </si>
  <si>
    <t>Murio 14-8-21</t>
  </si>
  <si>
    <t>0721</t>
  </si>
  <si>
    <t>0821</t>
  </si>
  <si>
    <t>0921</t>
  </si>
  <si>
    <t>0322</t>
  </si>
  <si>
    <t>0222</t>
  </si>
  <si>
    <t>0122</t>
  </si>
  <si>
    <t>1321</t>
  </si>
  <si>
    <t>1121</t>
  </si>
  <si>
    <t>o</t>
  </si>
  <si>
    <t>Remate 01-22</t>
  </si>
  <si>
    <t>0422</t>
  </si>
  <si>
    <t>Murio 7-1-22</t>
  </si>
  <si>
    <t>Remate 06-04-22</t>
  </si>
  <si>
    <t>Murio 12-7-22</t>
  </si>
  <si>
    <t>murio lunes 4 de julio</t>
  </si>
  <si>
    <t>Remate 02-22</t>
  </si>
  <si>
    <t>Destiny</t>
  </si>
  <si>
    <t>Reed</t>
  </si>
  <si>
    <t>1422</t>
  </si>
  <si>
    <t>Renglón</t>
  </si>
  <si>
    <t>Arete¹</t>
  </si>
  <si>
    <t>Sexo</t>
  </si>
  <si>
    <t>Precio Venta</t>
  </si>
  <si>
    <t>223</t>
  </si>
  <si>
    <t>123</t>
  </si>
  <si>
    <t>Nitro 7JE1242</t>
  </si>
  <si>
    <t>Destiny 7JE 1774</t>
  </si>
  <si>
    <t>Murio 6-2-23</t>
  </si>
  <si>
    <t>Alpha29 JE4162</t>
  </si>
  <si>
    <t>Jeteu 29SD0011</t>
  </si>
  <si>
    <t>522</t>
  </si>
  <si>
    <t>722</t>
  </si>
  <si>
    <t>Distiny 7JE 1774</t>
  </si>
  <si>
    <t>Remate 24-1-23</t>
  </si>
  <si>
    <t>622</t>
  </si>
  <si>
    <t>Avon 17 JE 673</t>
  </si>
  <si>
    <t>Destinity 7je1774</t>
  </si>
  <si>
    <t>Decentsb290018</t>
  </si>
  <si>
    <t>Taggeres29e4202</t>
  </si>
  <si>
    <t>Jeteu29D0011</t>
  </si>
  <si>
    <t>Murio 18-9-23</t>
  </si>
  <si>
    <t>Raza</t>
  </si>
  <si>
    <t>Jeresey</t>
  </si>
  <si>
    <t>Girolando</t>
  </si>
  <si>
    <t>Red Sindhi/Jersey</t>
  </si>
  <si>
    <t>Taurindicus/Jersey</t>
  </si>
  <si>
    <t>Jersey x Brahman</t>
  </si>
  <si>
    <t xml:space="preserve">Jersey </t>
  </si>
  <si>
    <t>Murio 30-4-2024</t>
  </si>
  <si>
    <t>Remate I-2024</t>
  </si>
  <si>
    <t>124</t>
  </si>
  <si>
    <t>24-24</t>
  </si>
  <si>
    <t>Jeteu295D0011</t>
  </si>
  <si>
    <t>224</t>
  </si>
  <si>
    <t>Murio 18-4-24</t>
  </si>
  <si>
    <t>Peso</t>
  </si>
  <si>
    <t>Sabano11je07047</t>
  </si>
  <si>
    <t>Nacio muerta 1-5-24</t>
  </si>
  <si>
    <r>
      <t xml:space="preserve">522 </t>
    </r>
    <r>
      <rPr>
        <sz val="8"/>
        <color rgb="FF000000"/>
        <rFont val="Times New Roman"/>
        <family val="1"/>
      </rPr>
      <t xml:space="preserve">Monta Natural </t>
    </r>
  </si>
  <si>
    <t xml:space="preserve">522 Monta Natural </t>
  </si>
  <si>
    <t>Murío 21-7-2024</t>
  </si>
  <si>
    <t xml:space="preserve">822 Monta Natural </t>
  </si>
  <si>
    <t>Se vendio, remate 2024</t>
  </si>
  <si>
    <t>1424</t>
  </si>
  <si>
    <t>79 (Toro Feima)</t>
  </si>
  <si>
    <t>Feima</t>
  </si>
  <si>
    <t>No fue amamantada</t>
  </si>
  <si>
    <t xml:space="preserve">Brahman </t>
  </si>
  <si>
    <t>Brahman</t>
  </si>
  <si>
    <t>Cantidad</t>
  </si>
  <si>
    <t xml:space="preserve">Especie </t>
  </si>
  <si>
    <t>taurus</t>
  </si>
  <si>
    <t>taurus/indicus</t>
  </si>
  <si>
    <t>indicus</t>
  </si>
  <si>
    <t>Adquisiciones por compra o donación</t>
  </si>
  <si>
    <t>Donacion FEIMA</t>
  </si>
  <si>
    <t>Compra</t>
  </si>
  <si>
    <t>Valor Est.   ₡1500/Kg</t>
  </si>
  <si>
    <t xml:space="preserve">Nacimientos  </t>
  </si>
  <si>
    <t xml:space="preserve">Defunciones  </t>
  </si>
  <si>
    <t xml:space="preserve">Ventas  </t>
  </si>
  <si>
    <t>Via remate 1 2024</t>
  </si>
  <si>
    <t>Via remate 2 2024</t>
  </si>
  <si>
    <t>922</t>
  </si>
  <si>
    <t>Produccion</t>
  </si>
  <si>
    <t>Murio 26/3/2024</t>
  </si>
  <si>
    <t>Murío 23/9/2024</t>
  </si>
  <si>
    <t xml:space="preserve">Inventario actual de Semovientes </t>
  </si>
  <si>
    <r>
      <rPr>
        <b/>
        <sz val="22"/>
        <color theme="1"/>
        <rFont val="Bradley Hand ITC"/>
        <family val="4"/>
      </rPr>
      <t xml:space="preserve">            La Lecheria</t>
    </r>
    <r>
      <rPr>
        <b/>
        <sz val="20"/>
        <color theme="1"/>
        <rFont val="Bradley Hand ITC"/>
        <family val="4"/>
      </rPr>
      <t xml:space="preserve">. </t>
    </r>
    <r>
      <rPr>
        <sz val="12"/>
        <color theme="1"/>
        <rFont val="Arial"/>
        <family val="2"/>
      </rPr>
      <t>SRA, UCR.</t>
    </r>
  </si>
  <si>
    <t xml:space="preserve">Total de animales </t>
  </si>
  <si>
    <t xml:space="preserve">Estatus </t>
  </si>
  <si>
    <t>Fecha nac.</t>
  </si>
  <si>
    <t xml:space="preserve">Peso </t>
  </si>
  <si>
    <t>Ternero</t>
  </si>
  <si>
    <t>Ternera</t>
  </si>
  <si>
    <t>Vaquilla preñada o vacia</t>
  </si>
  <si>
    <t>Preparto</t>
  </si>
  <si>
    <t>Desecho</t>
  </si>
  <si>
    <t>Valor Est.    ₡</t>
  </si>
  <si>
    <t>Totales</t>
  </si>
  <si>
    <t>Kg</t>
  </si>
  <si>
    <t xml:space="preserve"> ₡1500/Kg</t>
  </si>
  <si>
    <t>x</t>
  </si>
  <si>
    <t>Torete</t>
  </si>
  <si>
    <t xml:space="preserve">Gran Total </t>
  </si>
  <si>
    <t xml:space="preserve">VENTAS </t>
  </si>
  <si>
    <t>Primer remate, oficio: SA-LL-2-2024</t>
  </si>
  <si>
    <t>Peso (Kg)</t>
  </si>
  <si>
    <t>Condiciòn</t>
  </si>
  <si>
    <t>Vaca</t>
  </si>
  <si>
    <t>Jersey</t>
  </si>
  <si>
    <r>
      <t xml:space="preserve">Vaquilla </t>
    </r>
    <r>
      <rPr>
        <sz val="9"/>
        <color rgb="FF000000"/>
        <rFont val="Calibri"/>
        <family val="2"/>
      </rPr>
      <t>(possible preñes)</t>
    </r>
  </si>
  <si>
    <r>
      <t xml:space="preserve">Vaca </t>
    </r>
    <r>
      <rPr>
        <sz val="10"/>
        <color rgb="FF000000"/>
        <rFont val="Calibri"/>
        <family val="2"/>
      </rPr>
      <t>(desecho)</t>
    </r>
  </si>
  <si>
    <t>Defunciones en el 2024</t>
  </si>
  <si>
    <t>Fecha muerte</t>
  </si>
  <si>
    <t>Nacido</t>
  </si>
  <si>
    <t>Nacida</t>
  </si>
  <si>
    <t>1-5-24 (nacio muerta)</t>
  </si>
  <si>
    <t>Monta natural 522</t>
  </si>
  <si>
    <t>1-5-204(nacio muerto)</t>
  </si>
  <si>
    <t>21-7-24 (nacio muerto)</t>
  </si>
  <si>
    <t>Monta natural 822</t>
  </si>
  <si>
    <t>23-9-24 (nacio muerta)</t>
  </si>
  <si>
    <t>Murio 21/2/2024</t>
  </si>
  <si>
    <t>Murio 19/2/2024</t>
  </si>
  <si>
    <t>Inventario  Semovientes a octubre  del 2024</t>
  </si>
  <si>
    <r>
      <t xml:space="preserve"> La Lecheria. </t>
    </r>
    <r>
      <rPr>
        <sz val="14"/>
        <color theme="1"/>
        <rFont val="Arial"/>
        <family val="2"/>
      </rPr>
      <t>SRA, UCR.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</si>
</sst>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;@"/>
    <numFmt numFmtId="165" formatCode="d/m/yy;@"/>
    <numFmt numFmtId="166" formatCode="#,##0;[Red]#,##0"/>
    <numFmt numFmtId="167" formatCode="&quot;₡&quot;#,##0"/>
  </numFmts>
  <fonts count="33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20"/>
      <color theme="1"/>
      <name val="Bradley Hand ITC"/>
      <family val="4"/>
    </font>
    <font>
      <sz val="12"/>
      <color theme="1"/>
      <name val="Arial"/>
      <family val="2"/>
    </font>
    <font>
      <b/>
      <sz val="22"/>
      <color theme="1"/>
      <name val="Bradley Hand ITC"/>
      <family val="4"/>
    </font>
    <font>
      <sz val="8"/>
      <color rgb="FF000000"/>
      <name val="Times New Roman"/>
      <family val="1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9"/>
      <color rgb="FFFF0000"/>
      <name val="Times New Roman"/>
      <family val="1"/>
    </font>
    <font>
      <sz val="8"/>
      <name val="Times New Roman"/>
      <family val="1"/>
    </font>
    <font>
      <sz val="10"/>
      <color rgb="FF000000"/>
      <name val="Calibri"/>
      <family val="2"/>
    </font>
    <font>
      <b/>
      <i/>
      <u/>
      <sz val="9"/>
      <color rgb="FF000000"/>
      <name val="Times New Roman"/>
      <family val="1"/>
    </font>
    <font>
      <b/>
      <i/>
      <u/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name val="Arial"/>
      <family val="2"/>
    </font>
    <font>
      <sz val="7"/>
      <color rgb="FF000000"/>
      <name val="Times New Roman"/>
      <family val="1"/>
    </font>
    <font>
      <sz val="7"/>
      <color rgb="FFFF0000"/>
      <name val="Times New Roman"/>
      <family val="1"/>
    </font>
    <font>
      <b/>
      <sz val="14"/>
      <color theme="1"/>
      <name val="Bradley Hand ITC"/>
      <family val="4"/>
    </font>
    <font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28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center"/>
    </xf>
    <xf numFmtId="17" fontId="3" fillId="2" borderId="0" xfId="0" applyNumberFormat="1" applyFont="1" applyFill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shrinkToFit="1"/>
    </xf>
    <xf numFmtId="164" fontId="10" fillId="2" borderId="1" xfId="0" applyNumberFormat="1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top" wrapText="1"/>
    </xf>
    <xf numFmtId="16" fontId="8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/>
    </xf>
    <xf numFmtId="167" fontId="11" fillId="2" borderId="18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/>
    </xf>
    <xf numFmtId="49" fontId="10" fillId="2" borderId="18" xfId="0" applyNumberFormat="1" applyFont="1" applyFill="1" applyBorder="1" applyAlignment="1">
      <alignment horizontal="center" vertical="center" shrinkToFit="1"/>
    </xf>
    <xf numFmtId="0" fontId="11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165" fontId="11" fillId="2" borderId="1" xfId="0" applyNumberFormat="1" applyFont="1" applyFill="1" applyBorder="1" applyAlignment="1">
      <alignment horizontal="center" vertical="center" shrinkToFit="1"/>
    </xf>
    <xf numFmtId="164" fontId="10" fillId="2" borderId="0" xfId="0" applyNumberFormat="1" applyFont="1" applyFill="1" applyAlignment="1">
      <alignment horizontal="center" vertical="center" shrinkToFit="1"/>
    </xf>
    <xf numFmtId="0" fontId="25" fillId="2" borderId="0" xfId="0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6" borderId="1" xfId="0" applyFont="1" applyFill="1" applyBorder="1" applyAlignment="1">
      <alignment horizontal="justify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4" fontId="14" fillId="0" borderId="4" xfId="0" applyNumberFormat="1" applyFont="1" applyBorder="1" applyAlignment="1">
      <alignment horizontal="center" vertical="center" wrapText="1"/>
    </xf>
    <xf numFmtId="167" fontId="14" fillId="0" borderId="3" xfId="0" applyNumberFormat="1" applyFont="1" applyBorder="1" applyAlignment="1">
      <alignment horizontal="center" vertical="center" wrapText="1"/>
    </xf>
    <xf numFmtId="167" fontId="14" fillId="0" borderId="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  <xf numFmtId="0" fontId="26" fillId="9" borderId="18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 wrapText="1"/>
    </xf>
    <xf numFmtId="166" fontId="11" fillId="2" borderId="18" xfId="0" applyNumberFormat="1" applyFont="1" applyFill="1" applyBorder="1" applyAlignment="1">
      <alignment horizontal="center" vertical="center" wrapText="1"/>
    </xf>
    <xf numFmtId="164" fontId="10" fillId="2" borderId="18" xfId="0" applyNumberFormat="1" applyFont="1" applyFill="1" applyBorder="1" applyAlignment="1">
      <alignment horizontal="center" vertical="center" shrinkToFit="1"/>
    </xf>
    <xf numFmtId="0" fontId="1" fillId="6" borderId="20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justify" vertical="top"/>
    </xf>
    <xf numFmtId="0" fontId="1" fillId="6" borderId="21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left"/>
    </xf>
    <xf numFmtId="0" fontId="2" fillId="10" borderId="0" xfId="0" applyFont="1" applyFill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9" fillId="10" borderId="18" xfId="0" applyFont="1" applyFill="1" applyBorder="1" applyAlignment="1">
      <alignment horizontal="justify" vertical="center"/>
    </xf>
    <xf numFmtId="0" fontId="29" fillId="10" borderId="1" xfId="0" applyFont="1" applyFill="1" applyBorder="1" applyAlignment="1">
      <alignment horizontal="justify" vertical="center"/>
    </xf>
    <xf numFmtId="0" fontId="30" fillId="10" borderId="1" xfId="0" applyFont="1" applyFill="1" applyBorder="1" applyAlignment="1">
      <alignment horizontal="justify" vertical="center"/>
    </xf>
    <xf numFmtId="0" fontId="29" fillId="10" borderId="0" xfId="0" applyFont="1" applyFill="1" applyAlignment="1">
      <alignment horizontal="justify" vertical="center"/>
    </xf>
    <xf numFmtId="0" fontId="31" fillId="2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6" borderId="12" xfId="0" applyFont="1" applyFill="1" applyBorder="1" applyAlignment="1">
      <alignment horizontal="justify" vertical="center"/>
    </xf>
    <xf numFmtId="0" fontId="0" fillId="0" borderId="19" xfId="0" applyBorder="1" applyAlignment="1">
      <alignment horizontal="justify" vertical="center"/>
    </xf>
    <xf numFmtId="0" fontId="3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2" fillId="6" borderId="12" xfId="0" applyNumberFormat="1" applyFont="1" applyFill="1" applyBorder="1" applyAlignment="1">
      <alignment horizontal="justify" vertical="center"/>
    </xf>
    <xf numFmtId="0" fontId="19" fillId="2" borderId="6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left" vertical="top"/>
    </xf>
    <xf numFmtId="0" fontId="22" fillId="6" borderId="9" xfId="0" applyFont="1" applyFill="1" applyBorder="1" applyAlignment="1">
      <alignment horizontal="center" vertical="center" wrapText="1"/>
    </xf>
    <xf numFmtId="0" fontId="23" fillId="6" borderId="10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Normal 2" xfId="1" xr:uid="{D065DF10-C8FC-468E-85DF-E810866CE5DB}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552450</xdr:colOff>
      <xdr:row>0</xdr:row>
      <xdr:rowOff>104775</xdr:rowOff>
    </xdr:from>
    <xdr:to>
      <xdr:col>10</xdr:col>
      <xdr:colOff>542925</xdr:colOff>
      <xdr:row>1</xdr:row>
      <xdr:rowOff>152116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104775"/>
          <a:ext cx="581025" cy="390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0</xdr:row>
      <xdr:rowOff>166688</xdr:rowOff>
    </xdr:from>
    <xdr:to>
      <xdr:col>1</xdr:col>
      <xdr:colOff>663575</xdr:colOff>
      <xdr:row>1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66688"/>
          <a:ext cx="428625" cy="252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166688</xdr:colOff>
      <xdr:row>0</xdr:row>
      <xdr:rowOff>49213</xdr:rowOff>
    </xdr:from>
    <xdr:to>
      <xdr:col>5</xdr:col>
      <xdr:colOff>595313</xdr:colOff>
      <xdr:row>1</xdr:row>
      <xdr:rowOff>136525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223BA0-D312-4C2C-A091-75B4B18C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8988" y="49213"/>
          <a:ext cx="428625" cy="252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workbookViewId="0">
      <pane ySplit="3" topLeftCell="A67" activePane="bottomLeft" state="frozen"/>
      <selection pane="bottomLeft" activeCell="I74" sqref="I74"/>
    </sheetView>
  </sheetViews>
  <sheetFormatPr baseColWidth="10" defaultColWidth="18.5" defaultRowHeight="21" customHeight="1" x14ac:dyDescent="0.3"/>
  <cols>
    <col min="1" max="1" width="7.5" style="3" customWidth="1"/>
    <col min="2" max="2" width="12.296875" style="3" customWidth="1"/>
    <col min="3" max="3" width="14.69921875" style="3" customWidth="1"/>
    <col min="4" max="5" width="16.19921875" style="3" customWidth="1"/>
    <col min="6" max="7" width="9.5" style="3" customWidth="1"/>
    <col min="8" max="8" width="18.5" style="3"/>
    <col min="9" max="9" width="17.5" style="8" customWidth="1"/>
    <col min="10" max="10" width="10.296875" style="3" customWidth="1"/>
    <col min="11" max="11" width="15.5" style="3" customWidth="1"/>
    <col min="12" max="16384" width="18.5" style="3"/>
  </cols>
  <sheetData>
    <row r="1" spans="1:11" ht="27" customHeight="1" x14ac:dyDescent="0.3">
      <c r="A1" s="10" t="s">
        <v>41</v>
      </c>
      <c r="D1" s="3" t="s">
        <v>74</v>
      </c>
    </row>
    <row r="2" spans="1:11" ht="15.75" customHeight="1" x14ac:dyDescent="0.3">
      <c r="B2" s="11"/>
      <c r="C2" s="11"/>
      <c r="D2" s="11"/>
      <c r="E2" s="11"/>
      <c r="F2" s="1"/>
      <c r="G2" s="1"/>
      <c r="H2" s="11">
        <v>45586</v>
      </c>
      <c r="J2" s="1"/>
      <c r="K2" s="1"/>
    </row>
    <row r="3" spans="1:11" ht="21" customHeight="1" x14ac:dyDescent="0.3">
      <c r="A3" s="2" t="s">
        <v>38</v>
      </c>
      <c r="B3" s="2" t="s">
        <v>56</v>
      </c>
      <c r="C3" s="2" t="s">
        <v>58</v>
      </c>
      <c r="D3" s="2" t="s">
        <v>57</v>
      </c>
      <c r="E3" s="2" t="s">
        <v>107</v>
      </c>
      <c r="F3" s="2" t="s">
        <v>0</v>
      </c>
      <c r="G3" s="2" t="s">
        <v>121</v>
      </c>
      <c r="H3" s="2" t="s">
        <v>1</v>
      </c>
      <c r="I3" s="4" t="s">
        <v>43</v>
      </c>
      <c r="J3" s="2" t="s">
        <v>39</v>
      </c>
      <c r="K3" s="2" t="s">
        <v>40</v>
      </c>
    </row>
    <row r="4" spans="1:11" ht="21" customHeight="1" x14ac:dyDescent="0.3">
      <c r="A4" s="2">
        <v>100</v>
      </c>
      <c r="B4" s="13">
        <v>45521</v>
      </c>
      <c r="C4" s="2">
        <v>84</v>
      </c>
      <c r="D4" s="2" t="s">
        <v>130</v>
      </c>
      <c r="E4" s="2" t="s">
        <v>133</v>
      </c>
      <c r="F4" s="2" t="s">
        <v>2</v>
      </c>
      <c r="G4" s="2"/>
      <c r="H4" s="2" t="s">
        <v>131</v>
      </c>
      <c r="I4" s="4" t="s">
        <v>132</v>
      </c>
      <c r="J4" s="2"/>
      <c r="K4" s="2"/>
    </row>
    <row r="5" spans="1:11" ht="21" customHeight="1" x14ac:dyDescent="0.3">
      <c r="A5" s="12" t="s">
        <v>27</v>
      </c>
      <c r="B5" s="2"/>
      <c r="C5" s="2"/>
      <c r="D5" s="2"/>
      <c r="E5" s="2" t="s">
        <v>113</v>
      </c>
      <c r="F5" s="2" t="s">
        <v>2</v>
      </c>
      <c r="G5" s="2"/>
      <c r="H5" s="2" t="s">
        <v>3</v>
      </c>
      <c r="I5" s="9"/>
      <c r="J5" s="2"/>
      <c r="K5" s="6"/>
    </row>
    <row r="6" spans="1:11" ht="21" customHeight="1" x14ac:dyDescent="0.3">
      <c r="A6" s="5" t="s">
        <v>28</v>
      </c>
      <c r="B6" s="13">
        <v>43833</v>
      </c>
      <c r="C6" s="2">
        <v>908</v>
      </c>
      <c r="D6" s="2" t="s">
        <v>91</v>
      </c>
      <c r="E6" s="2" t="s">
        <v>113</v>
      </c>
      <c r="F6" s="2" t="s">
        <v>2</v>
      </c>
      <c r="G6" s="2"/>
      <c r="H6" s="2" t="s">
        <v>3</v>
      </c>
      <c r="I6" s="2" t="s">
        <v>6</v>
      </c>
      <c r="J6" s="2"/>
      <c r="K6" s="6"/>
    </row>
    <row r="7" spans="1:11" ht="21" customHeight="1" x14ac:dyDescent="0.3">
      <c r="A7" s="5" t="s">
        <v>53</v>
      </c>
      <c r="B7" s="2"/>
      <c r="C7" s="2"/>
      <c r="D7" s="2"/>
      <c r="E7" s="2" t="s">
        <v>113</v>
      </c>
      <c r="F7" s="5" t="s">
        <v>52</v>
      </c>
      <c r="G7" s="5"/>
      <c r="H7" s="2" t="s">
        <v>8</v>
      </c>
      <c r="I7" s="2" t="s">
        <v>62</v>
      </c>
      <c r="J7" s="2"/>
      <c r="K7" s="6"/>
    </row>
    <row r="8" spans="1:11" ht="21" customHeight="1" x14ac:dyDescent="0.3">
      <c r="A8" s="17" t="s">
        <v>71</v>
      </c>
      <c r="B8" s="18">
        <v>44565</v>
      </c>
      <c r="C8" s="4"/>
      <c r="D8" s="4"/>
      <c r="E8" s="2" t="s">
        <v>113</v>
      </c>
      <c r="F8" s="4" t="s">
        <v>51</v>
      </c>
      <c r="G8" s="4"/>
      <c r="H8" s="4" t="s">
        <v>3</v>
      </c>
      <c r="I8" s="9" t="s">
        <v>77</v>
      </c>
      <c r="J8" s="4"/>
      <c r="K8" s="4"/>
    </row>
    <row r="9" spans="1:11" ht="21" customHeight="1" x14ac:dyDescent="0.3">
      <c r="A9" s="17" t="s">
        <v>90</v>
      </c>
      <c r="B9" s="18">
        <v>44934</v>
      </c>
      <c r="C9" s="4">
        <v>1920</v>
      </c>
      <c r="D9" s="4" t="s">
        <v>92</v>
      </c>
      <c r="E9" s="2" t="s">
        <v>113</v>
      </c>
      <c r="F9" s="4" t="s">
        <v>52</v>
      </c>
      <c r="G9" s="4"/>
      <c r="H9" s="2" t="s">
        <v>8</v>
      </c>
      <c r="I9" s="9"/>
      <c r="J9" s="4">
        <v>18</v>
      </c>
      <c r="K9" s="4"/>
    </row>
    <row r="10" spans="1:11" ht="21" customHeight="1" x14ac:dyDescent="0.3">
      <c r="A10" s="17" t="s">
        <v>116</v>
      </c>
      <c r="B10" s="18" t="s">
        <v>117</v>
      </c>
      <c r="C10" s="4">
        <v>715</v>
      </c>
      <c r="D10" s="4" t="s">
        <v>118</v>
      </c>
      <c r="E10" s="2" t="s">
        <v>113</v>
      </c>
      <c r="F10" s="4" t="s">
        <v>2</v>
      </c>
      <c r="G10" s="4">
        <v>20</v>
      </c>
      <c r="H10" s="2" t="s">
        <v>8</v>
      </c>
      <c r="I10" s="9"/>
      <c r="J10" s="4"/>
      <c r="K10" s="4"/>
    </row>
    <row r="11" spans="1:11" ht="21" customHeight="1" x14ac:dyDescent="0.3">
      <c r="A11" s="12" t="s">
        <v>22</v>
      </c>
      <c r="B11" s="2"/>
      <c r="C11" s="2"/>
      <c r="D11" s="2"/>
      <c r="E11" s="2" t="s">
        <v>113</v>
      </c>
      <c r="F11" s="2" t="s">
        <v>2</v>
      </c>
      <c r="G11" s="2"/>
      <c r="H11" s="2" t="s">
        <v>3</v>
      </c>
      <c r="I11" s="37" t="s">
        <v>150</v>
      </c>
      <c r="J11" s="2"/>
      <c r="K11" s="6"/>
    </row>
    <row r="12" spans="1:11" ht="21" customHeight="1" x14ac:dyDescent="0.3">
      <c r="A12" s="5" t="s">
        <v>29</v>
      </c>
      <c r="B12" s="2"/>
      <c r="C12" s="2"/>
      <c r="D12" s="2"/>
      <c r="E12" s="2" t="s">
        <v>113</v>
      </c>
      <c r="F12" s="2" t="s">
        <v>2</v>
      </c>
      <c r="G12" s="2"/>
      <c r="H12" s="2" t="s">
        <v>7</v>
      </c>
      <c r="I12" s="9"/>
      <c r="J12" s="2"/>
      <c r="K12" s="6"/>
    </row>
    <row r="13" spans="1:11" ht="21" customHeight="1" x14ac:dyDescent="0.3">
      <c r="A13" s="5" t="s">
        <v>54</v>
      </c>
      <c r="B13" s="2"/>
      <c r="C13" s="2"/>
      <c r="D13" s="2"/>
      <c r="E13" s="2" t="s">
        <v>113</v>
      </c>
      <c r="F13" s="5" t="s">
        <v>51</v>
      </c>
      <c r="G13" s="5"/>
      <c r="H13" s="2" t="s">
        <v>3</v>
      </c>
      <c r="I13" s="2" t="s">
        <v>63</v>
      </c>
      <c r="J13" s="2"/>
      <c r="K13" s="6"/>
    </row>
    <row r="14" spans="1:11" ht="21" customHeight="1" x14ac:dyDescent="0.3">
      <c r="A14" s="17" t="s">
        <v>70</v>
      </c>
      <c r="B14" s="18">
        <v>44601</v>
      </c>
      <c r="C14" s="4"/>
      <c r="D14" s="4"/>
      <c r="E14" s="2" t="s">
        <v>113</v>
      </c>
      <c r="F14" s="4" t="s">
        <v>52</v>
      </c>
      <c r="G14" s="4"/>
      <c r="H14" s="2" t="s">
        <v>3</v>
      </c>
      <c r="I14" s="2" t="s">
        <v>78</v>
      </c>
      <c r="J14" s="4"/>
      <c r="K14" s="4"/>
    </row>
    <row r="15" spans="1:11" ht="21" customHeight="1" x14ac:dyDescent="0.3">
      <c r="A15" s="17" t="s">
        <v>89</v>
      </c>
      <c r="B15" s="18">
        <v>44940</v>
      </c>
      <c r="C15" s="4">
        <v>1015</v>
      </c>
      <c r="D15" s="4" t="s">
        <v>92</v>
      </c>
      <c r="E15" s="2" t="s">
        <v>113</v>
      </c>
      <c r="F15" s="4" t="s">
        <v>51</v>
      </c>
      <c r="G15" s="4"/>
      <c r="H15" s="2" t="s">
        <v>3</v>
      </c>
      <c r="I15" s="2" t="s">
        <v>93</v>
      </c>
      <c r="J15" s="4"/>
      <c r="K15" s="4"/>
    </row>
    <row r="16" spans="1:11" ht="21" customHeight="1" x14ac:dyDescent="0.3">
      <c r="A16" s="17" t="s">
        <v>119</v>
      </c>
      <c r="B16" s="18">
        <v>45359</v>
      </c>
      <c r="C16" s="4">
        <v>921</v>
      </c>
      <c r="D16" s="4" t="s">
        <v>104</v>
      </c>
      <c r="E16" s="2" t="s">
        <v>113</v>
      </c>
      <c r="F16" s="4" t="s">
        <v>52</v>
      </c>
      <c r="G16" s="4">
        <v>15</v>
      </c>
      <c r="H16" s="2" t="s">
        <v>8</v>
      </c>
      <c r="I16" s="2" t="s">
        <v>120</v>
      </c>
      <c r="J16" s="4"/>
      <c r="K16" s="4"/>
    </row>
    <row r="17" spans="1:11" ht="21" customHeight="1" x14ac:dyDescent="0.3">
      <c r="A17" s="12" t="s">
        <v>20</v>
      </c>
      <c r="B17" s="2"/>
      <c r="C17" s="2"/>
      <c r="E17" s="2" t="s">
        <v>113</v>
      </c>
      <c r="F17" s="2" t="s">
        <v>2</v>
      </c>
      <c r="G17" s="2"/>
      <c r="H17" s="2" t="s">
        <v>3</v>
      </c>
      <c r="I17" s="9" t="s">
        <v>114</v>
      </c>
      <c r="J17" s="2"/>
      <c r="K17" s="6"/>
    </row>
    <row r="18" spans="1:11" ht="21" customHeight="1" x14ac:dyDescent="0.3">
      <c r="A18" s="5" t="s">
        <v>30</v>
      </c>
      <c r="B18" s="2"/>
      <c r="C18" s="2"/>
      <c r="D18" s="2"/>
      <c r="E18" s="2" t="s">
        <v>113</v>
      </c>
      <c r="F18" s="2" t="s">
        <v>4</v>
      </c>
      <c r="G18" s="2"/>
      <c r="H18" s="2" t="s">
        <v>8</v>
      </c>
      <c r="I18" s="2" t="s">
        <v>42</v>
      </c>
      <c r="J18" s="2"/>
      <c r="K18" s="6"/>
    </row>
    <row r="19" spans="1:11" ht="21" customHeight="1" x14ac:dyDescent="0.3">
      <c r="A19" s="5" t="s">
        <v>55</v>
      </c>
      <c r="B19" s="13">
        <v>44384</v>
      </c>
      <c r="C19" s="2"/>
      <c r="D19" s="2"/>
      <c r="E19" s="2" t="s">
        <v>113</v>
      </c>
      <c r="F19" s="5" t="s">
        <v>51</v>
      </c>
      <c r="G19" s="5"/>
      <c r="H19" s="2" t="s">
        <v>3</v>
      </c>
      <c r="I19" s="2"/>
      <c r="J19" s="2"/>
      <c r="K19" s="6"/>
    </row>
    <row r="20" spans="1:11" ht="21" customHeight="1" x14ac:dyDescent="0.3">
      <c r="A20" s="17" t="s">
        <v>69</v>
      </c>
      <c r="B20" s="18">
        <v>44606</v>
      </c>
      <c r="D20" s="4"/>
      <c r="E20" s="2" t="s">
        <v>113</v>
      </c>
      <c r="F20" s="4" t="s">
        <v>52</v>
      </c>
      <c r="G20" s="4"/>
      <c r="H20" s="4" t="s">
        <v>8</v>
      </c>
      <c r="I20" s="2" t="s">
        <v>78</v>
      </c>
      <c r="J20" s="4"/>
      <c r="K20" s="4"/>
    </row>
    <row r="21" spans="1:11" ht="21" customHeight="1" x14ac:dyDescent="0.3">
      <c r="A21" s="4">
        <v>323</v>
      </c>
      <c r="B21" s="21">
        <v>45033</v>
      </c>
      <c r="C21" s="4">
        <v>720</v>
      </c>
      <c r="D21" s="4" t="s">
        <v>94</v>
      </c>
      <c r="E21" s="2" t="s">
        <v>113</v>
      </c>
      <c r="F21" s="4" t="s">
        <v>2</v>
      </c>
      <c r="G21" s="4"/>
      <c r="H21" s="4" t="s">
        <v>3</v>
      </c>
      <c r="I21" s="2" t="s">
        <v>115</v>
      </c>
      <c r="J21" s="4"/>
      <c r="K21" s="4"/>
    </row>
    <row r="22" spans="1:11" ht="21" customHeight="1" x14ac:dyDescent="0.3">
      <c r="A22" s="4">
        <v>324</v>
      </c>
      <c r="B22" s="30">
        <v>45372</v>
      </c>
      <c r="C22" s="4">
        <v>1920</v>
      </c>
      <c r="D22" s="4" t="s">
        <v>104</v>
      </c>
      <c r="E22" s="2" t="s">
        <v>113</v>
      </c>
      <c r="F22" s="4" t="s">
        <v>52</v>
      </c>
      <c r="G22" s="4">
        <v>16</v>
      </c>
      <c r="H22" s="4" t="s">
        <v>8</v>
      </c>
      <c r="I22" s="18" t="s">
        <v>151</v>
      </c>
      <c r="J22" s="4"/>
      <c r="K22" s="4"/>
    </row>
    <row r="23" spans="1:11" ht="21" customHeight="1" x14ac:dyDescent="0.3">
      <c r="A23" s="12" t="s">
        <v>14</v>
      </c>
      <c r="B23" s="30"/>
      <c r="C23" s="2"/>
      <c r="D23" s="2"/>
      <c r="E23" s="2" t="s">
        <v>113</v>
      </c>
      <c r="F23" s="2" t="s">
        <v>2</v>
      </c>
      <c r="G23" s="2"/>
      <c r="H23" s="2" t="s">
        <v>3</v>
      </c>
      <c r="I23" s="9"/>
      <c r="J23" s="2"/>
      <c r="K23" s="2"/>
    </row>
    <row r="24" spans="1:11" ht="21" customHeight="1" x14ac:dyDescent="0.3">
      <c r="A24" s="12" t="s">
        <v>19</v>
      </c>
      <c r="B24" s="30"/>
      <c r="C24" s="2"/>
      <c r="D24" s="2"/>
      <c r="E24" s="2" t="s">
        <v>113</v>
      </c>
      <c r="F24" s="2" t="s">
        <v>2</v>
      </c>
      <c r="G24" s="2"/>
      <c r="H24" s="2" t="s">
        <v>42</v>
      </c>
      <c r="I24" s="2" t="s">
        <v>42</v>
      </c>
      <c r="J24" s="2"/>
      <c r="K24" s="6"/>
    </row>
    <row r="25" spans="1:11" ht="21" customHeight="1" x14ac:dyDescent="0.3">
      <c r="A25" s="5" t="s">
        <v>31</v>
      </c>
      <c r="B25" s="30"/>
      <c r="C25" s="2"/>
      <c r="D25" s="2"/>
      <c r="E25" s="2" t="s">
        <v>113</v>
      </c>
      <c r="F25" s="2" t="s">
        <v>4</v>
      </c>
      <c r="G25" s="2"/>
      <c r="H25" s="2" t="s">
        <v>9</v>
      </c>
      <c r="I25" s="9"/>
      <c r="J25" s="2"/>
      <c r="K25" s="6"/>
    </row>
    <row r="26" spans="1:11" ht="21" customHeight="1" x14ac:dyDescent="0.3">
      <c r="A26" s="5" t="s">
        <v>64</v>
      </c>
      <c r="B26" s="30">
        <v>44402</v>
      </c>
      <c r="C26" s="2"/>
      <c r="D26" s="2"/>
      <c r="E26" s="2" t="s">
        <v>113</v>
      </c>
      <c r="F26" s="5" t="s">
        <v>52</v>
      </c>
      <c r="G26" s="5"/>
      <c r="H26" s="2" t="s">
        <v>8</v>
      </c>
      <c r="I26" s="2" t="s">
        <v>65</v>
      </c>
      <c r="J26" s="2"/>
      <c r="K26" s="6"/>
    </row>
    <row r="27" spans="1:11" ht="21" customHeight="1" x14ac:dyDescent="0.3">
      <c r="A27" s="5" t="s">
        <v>76</v>
      </c>
      <c r="B27" s="30">
        <v>44631</v>
      </c>
      <c r="D27" s="2"/>
      <c r="E27" s="2" t="s">
        <v>113</v>
      </c>
      <c r="F27" s="5" t="s">
        <v>51</v>
      </c>
      <c r="G27" s="5"/>
      <c r="H27" s="2" t="s">
        <v>3</v>
      </c>
      <c r="I27" s="3" t="s">
        <v>79</v>
      </c>
      <c r="J27" s="2"/>
      <c r="K27" s="22"/>
    </row>
    <row r="28" spans="1:11" ht="21" customHeight="1" x14ac:dyDescent="0.3">
      <c r="A28" s="4">
        <v>423</v>
      </c>
      <c r="B28" s="30">
        <v>45076</v>
      </c>
      <c r="C28" s="4">
        <v>1917</v>
      </c>
      <c r="D28" s="4" t="s">
        <v>95</v>
      </c>
      <c r="E28" s="2" t="s">
        <v>113</v>
      </c>
      <c r="F28" s="4" t="s">
        <v>2</v>
      </c>
      <c r="G28" s="4"/>
      <c r="H28" s="4" t="s">
        <v>3</v>
      </c>
      <c r="I28" s="9"/>
      <c r="J28" s="4"/>
      <c r="K28" s="4"/>
    </row>
    <row r="29" spans="1:11" ht="21" customHeight="1" x14ac:dyDescent="0.3">
      <c r="A29" s="4">
        <v>424</v>
      </c>
      <c r="B29" s="30">
        <v>45381</v>
      </c>
      <c r="C29" s="4">
        <v>617</v>
      </c>
      <c r="D29" s="4" t="s">
        <v>104</v>
      </c>
      <c r="E29" s="2" t="s">
        <v>113</v>
      </c>
      <c r="F29" s="4" t="s">
        <v>2</v>
      </c>
      <c r="G29" s="4">
        <v>17</v>
      </c>
      <c r="H29" s="4" t="s">
        <v>3</v>
      </c>
      <c r="I29" s="9"/>
      <c r="J29" s="4"/>
      <c r="K29" s="4"/>
    </row>
    <row r="30" spans="1:11" ht="21" customHeight="1" x14ac:dyDescent="0.3">
      <c r="A30" s="5" t="s">
        <v>37</v>
      </c>
      <c r="B30" s="30"/>
      <c r="C30" s="2"/>
      <c r="D30" s="2"/>
      <c r="E30" s="2" t="s">
        <v>113</v>
      </c>
      <c r="F30" s="2" t="s">
        <v>4</v>
      </c>
      <c r="G30" s="2"/>
      <c r="H30" s="2" t="s">
        <v>5</v>
      </c>
      <c r="I30" s="9"/>
      <c r="J30" s="2"/>
      <c r="K30" s="6"/>
    </row>
    <row r="31" spans="1:11" ht="21" customHeight="1" x14ac:dyDescent="0.3">
      <c r="A31" s="5" t="s">
        <v>32</v>
      </c>
      <c r="B31" s="30"/>
      <c r="C31" s="2"/>
      <c r="D31" s="2"/>
      <c r="E31" s="2" t="s">
        <v>113</v>
      </c>
      <c r="F31" s="2" t="s">
        <v>4</v>
      </c>
      <c r="G31" s="2"/>
      <c r="H31" s="2" t="s">
        <v>8</v>
      </c>
      <c r="I31" s="2" t="s">
        <v>42</v>
      </c>
      <c r="J31" s="2"/>
      <c r="K31" s="6"/>
    </row>
    <row r="32" spans="1:11" ht="21" customHeight="1" x14ac:dyDescent="0.3">
      <c r="A32" s="5" t="s">
        <v>59</v>
      </c>
      <c r="B32" s="30">
        <v>44424</v>
      </c>
      <c r="D32" s="2"/>
      <c r="E32" s="2" t="s">
        <v>113</v>
      </c>
      <c r="F32" s="5" t="s">
        <v>51</v>
      </c>
      <c r="G32" s="5"/>
      <c r="H32" s="2" t="s">
        <v>3</v>
      </c>
      <c r="I32" s="2"/>
      <c r="J32" s="2"/>
      <c r="K32" s="6"/>
    </row>
    <row r="33" spans="1:11" ht="21" customHeight="1" x14ac:dyDescent="0.3">
      <c r="A33" s="5" t="s">
        <v>96</v>
      </c>
      <c r="B33" s="30">
        <v>44695</v>
      </c>
      <c r="C33" s="2">
        <v>615</v>
      </c>
      <c r="D33" s="4" t="s">
        <v>124</v>
      </c>
      <c r="E33" s="2" t="s">
        <v>113</v>
      </c>
      <c r="F33" s="5" t="s">
        <v>52</v>
      </c>
      <c r="G33" s="5"/>
      <c r="H33" s="2" t="s">
        <v>8</v>
      </c>
      <c r="I33" s="2"/>
      <c r="J33" s="2"/>
      <c r="K33" s="6"/>
    </row>
    <row r="34" spans="1:11" ht="21" customHeight="1" x14ac:dyDescent="0.3">
      <c r="A34" s="4">
        <v>523</v>
      </c>
      <c r="B34" s="30">
        <v>45118</v>
      </c>
      <c r="C34" s="4"/>
      <c r="D34" s="4" t="s">
        <v>102</v>
      </c>
      <c r="E34" s="2" t="s">
        <v>113</v>
      </c>
      <c r="F34" s="4" t="s">
        <v>2</v>
      </c>
      <c r="G34" s="4"/>
      <c r="H34" s="2" t="s">
        <v>8</v>
      </c>
      <c r="I34" s="9"/>
      <c r="J34" s="4"/>
      <c r="K34" s="4"/>
    </row>
    <row r="35" spans="1:11" ht="21" customHeight="1" x14ac:dyDescent="0.3">
      <c r="A35" s="4">
        <v>524</v>
      </c>
      <c r="B35" s="30">
        <v>45394</v>
      </c>
      <c r="C35" s="4">
        <v>720</v>
      </c>
      <c r="D35" s="4" t="s">
        <v>122</v>
      </c>
      <c r="E35" s="2" t="s">
        <v>113</v>
      </c>
      <c r="F35" s="4" t="s">
        <v>52</v>
      </c>
      <c r="G35" s="4">
        <v>23</v>
      </c>
      <c r="H35" s="2" t="s">
        <v>8</v>
      </c>
      <c r="I35" s="9"/>
      <c r="J35" s="4"/>
      <c r="K35" s="4"/>
    </row>
    <row r="36" spans="1:11" ht="21" customHeight="1" x14ac:dyDescent="0.3">
      <c r="A36" s="12" t="s">
        <v>17</v>
      </c>
      <c r="B36" s="30"/>
      <c r="C36" s="2"/>
      <c r="D36" s="2"/>
      <c r="E36" s="2" t="s">
        <v>113</v>
      </c>
      <c r="F36" s="2" t="s">
        <v>2</v>
      </c>
      <c r="G36" s="2"/>
      <c r="H36" s="2" t="s">
        <v>3</v>
      </c>
      <c r="I36" s="9" t="s">
        <v>81</v>
      </c>
      <c r="J36" s="2"/>
      <c r="K36" s="6"/>
    </row>
    <row r="37" spans="1:11" ht="21" customHeight="1" x14ac:dyDescent="0.3">
      <c r="A37" s="12" t="s">
        <v>23</v>
      </c>
      <c r="B37" s="30"/>
      <c r="C37" s="2"/>
      <c r="D37" s="2"/>
      <c r="E37" s="2" t="s">
        <v>113</v>
      </c>
      <c r="F37" s="2" t="s">
        <v>2</v>
      </c>
      <c r="G37" s="2"/>
      <c r="H37" s="2" t="s">
        <v>3</v>
      </c>
      <c r="I37" s="9"/>
      <c r="J37" s="2"/>
      <c r="K37" s="6"/>
    </row>
    <row r="38" spans="1:11" ht="21" customHeight="1" x14ac:dyDescent="0.3">
      <c r="A38" s="12" t="s">
        <v>26</v>
      </c>
      <c r="B38" s="30"/>
      <c r="C38" s="2"/>
      <c r="D38" s="2"/>
      <c r="E38" s="2" t="s">
        <v>113</v>
      </c>
      <c r="F38" s="2" t="s">
        <v>2</v>
      </c>
      <c r="G38" s="2"/>
      <c r="H38" s="2" t="s">
        <v>3</v>
      </c>
      <c r="I38" s="9"/>
      <c r="J38" s="2"/>
      <c r="K38" s="6"/>
    </row>
    <row r="39" spans="1:11" ht="21" customHeight="1" x14ac:dyDescent="0.3">
      <c r="A39" s="5" t="s">
        <v>33</v>
      </c>
      <c r="B39" s="30"/>
      <c r="C39" s="2"/>
      <c r="D39" s="2"/>
      <c r="E39" s="2" t="s">
        <v>113</v>
      </c>
      <c r="F39" s="2" t="s">
        <v>4</v>
      </c>
      <c r="G39" s="2"/>
      <c r="H39" s="2" t="s">
        <v>8</v>
      </c>
      <c r="I39" s="2" t="s">
        <v>42</v>
      </c>
      <c r="J39" s="2"/>
      <c r="K39" s="6"/>
    </row>
    <row r="40" spans="1:11" ht="21" customHeight="1" x14ac:dyDescent="0.3">
      <c r="A40" s="5" t="s">
        <v>61</v>
      </c>
      <c r="B40" s="30">
        <v>44468</v>
      </c>
      <c r="C40" s="2"/>
      <c r="D40" s="2"/>
      <c r="E40" s="2" t="s">
        <v>113</v>
      </c>
      <c r="F40" s="5" t="s">
        <v>52</v>
      </c>
      <c r="G40" s="5"/>
      <c r="H40" s="2" t="s">
        <v>8</v>
      </c>
      <c r="I40" s="1" t="s">
        <v>78</v>
      </c>
      <c r="J40" s="2"/>
      <c r="K40" s="6"/>
    </row>
    <row r="41" spans="1:11" ht="21" customHeight="1" x14ac:dyDescent="0.3">
      <c r="A41" s="5" t="s">
        <v>100</v>
      </c>
      <c r="B41" s="30">
        <v>44696</v>
      </c>
      <c r="C41" s="2">
        <v>720</v>
      </c>
      <c r="D41" s="2" t="s">
        <v>101</v>
      </c>
      <c r="E41" s="2" t="s">
        <v>113</v>
      </c>
      <c r="F41" s="5" t="s">
        <v>52</v>
      </c>
      <c r="G41" s="5"/>
      <c r="H41" s="2" t="s">
        <v>8</v>
      </c>
      <c r="I41" s="9" t="s">
        <v>99</v>
      </c>
      <c r="J41" s="2"/>
      <c r="K41" s="6"/>
    </row>
    <row r="42" spans="1:11" ht="21" customHeight="1" x14ac:dyDescent="0.3">
      <c r="A42" s="4">
        <v>623</v>
      </c>
      <c r="B42" s="30">
        <v>45151</v>
      </c>
      <c r="C42" s="4"/>
      <c r="D42" s="4" t="s">
        <v>103</v>
      </c>
      <c r="E42" s="2" t="s">
        <v>113</v>
      </c>
      <c r="F42" s="4" t="s">
        <v>2</v>
      </c>
      <c r="G42" s="4"/>
      <c r="H42" s="2" t="s">
        <v>8</v>
      </c>
      <c r="I42" s="9" t="s">
        <v>106</v>
      </c>
      <c r="J42" s="4"/>
      <c r="K42" s="4"/>
    </row>
    <row r="43" spans="1:11" ht="21" customHeight="1" x14ac:dyDescent="0.3">
      <c r="A43" s="4">
        <v>624</v>
      </c>
      <c r="B43" s="30">
        <v>45413</v>
      </c>
      <c r="C43" s="4">
        <v>1916</v>
      </c>
      <c r="D43" s="4" t="s">
        <v>125</v>
      </c>
      <c r="E43" s="2" t="s">
        <v>113</v>
      </c>
      <c r="F43" s="4" t="s">
        <v>2</v>
      </c>
      <c r="G43" s="4">
        <v>26</v>
      </c>
      <c r="H43" s="2" t="s">
        <v>3</v>
      </c>
      <c r="I43" s="9" t="s">
        <v>123</v>
      </c>
      <c r="J43" s="4"/>
      <c r="K43" s="4"/>
    </row>
    <row r="44" spans="1:11" ht="21" customHeight="1" x14ac:dyDescent="0.3">
      <c r="A44" s="12" t="s">
        <v>24</v>
      </c>
      <c r="B44" s="30"/>
      <c r="C44" s="2"/>
      <c r="D44" s="2"/>
      <c r="E44" s="2" t="s">
        <v>113</v>
      </c>
      <c r="F44" s="2" t="s">
        <v>2</v>
      </c>
      <c r="G44" s="2"/>
      <c r="H44" s="2" t="s">
        <v>3</v>
      </c>
      <c r="I44" s="9"/>
      <c r="J44" s="2"/>
      <c r="K44" s="6"/>
    </row>
    <row r="45" spans="1:11" ht="21" customHeight="1" x14ac:dyDescent="0.3">
      <c r="A45" s="5" t="s">
        <v>34</v>
      </c>
      <c r="B45" s="30"/>
      <c r="C45" s="2"/>
      <c r="D45" s="2"/>
      <c r="E45" s="2" t="s">
        <v>113</v>
      </c>
      <c r="F45" s="2" t="s">
        <v>2</v>
      </c>
      <c r="G45" s="2"/>
      <c r="H45" s="2" t="s">
        <v>3</v>
      </c>
      <c r="J45" s="2"/>
      <c r="K45" s="4"/>
    </row>
    <row r="46" spans="1:11" ht="21" customHeight="1" thickBot="1" x14ac:dyDescent="0.35">
      <c r="A46" s="5" t="s">
        <v>66</v>
      </c>
      <c r="B46" s="30">
        <v>44523</v>
      </c>
      <c r="C46" s="4"/>
      <c r="D46" s="4"/>
      <c r="E46" s="28" t="s">
        <v>112</v>
      </c>
      <c r="F46" s="4" t="s">
        <v>51</v>
      </c>
      <c r="G46" s="4"/>
      <c r="H46" s="4" t="s">
        <v>3</v>
      </c>
      <c r="I46" s="2" t="s">
        <v>115</v>
      </c>
      <c r="J46" s="4"/>
      <c r="K46" s="4"/>
    </row>
    <row r="47" spans="1:11" ht="21" customHeight="1" x14ac:dyDescent="0.3">
      <c r="A47" s="5" t="s">
        <v>97</v>
      </c>
      <c r="B47" s="30">
        <v>44742</v>
      </c>
      <c r="C47" s="4">
        <v>813</v>
      </c>
      <c r="D47" s="4" t="s">
        <v>98</v>
      </c>
      <c r="E47" s="2" t="s">
        <v>113</v>
      </c>
      <c r="F47" s="4" t="s">
        <v>52</v>
      </c>
      <c r="G47" s="4"/>
      <c r="H47" s="4" t="s">
        <v>3</v>
      </c>
      <c r="I47" s="9" t="s">
        <v>99</v>
      </c>
      <c r="J47" s="4"/>
      <c r="K47" s="4"/>
    </row>
    <row r="48" spans="1:11" ht="21" customHeight="1" x14ac:dyDescent="0.3">
      <c r="A48" s="4">
        <v>723</v>
      </c>
      <c r="B48" s="30">
        <v>45154</v>
      </c>
      <c r="C48" s="4"/>
      <c r="D48" s="4" t="s">
        <v>103</v>
      </c>
      <c r="E48" s="31" t="s">
        <v>110</v>
      </c>
      <c r="F48" s="4" t="s">
        <v>4</v>
      </c>
      <c r="G48" s="4"/>
      <c r="I48" s="9"/>
      <c r="J48" s="4"/>
      <c r="K48" s="4"/>
    </row>
    <row r="49" spans="1:11" ht="21" customHeight="1" x14ac:dyDescent="0.3">
      <c r="A49" s="4">
        <v>724</v>
      </c>
      <c r="B49" s="30">
        <v>45420</v>
      </c>
      <c r="C49" s="4">
        <v>1121</v>
      </c>
      <c r="D49" s="4" t="s">
        <v>125</v>
      </c>
      <c r="E49" s="2" t="s">
        <v>113</v>
      </c>
      <c r="F49" s="4" t="s">
        <v>4</v>
      </c>
      <c r="G49" s="4">
        <v>28</v>
      </c>
      <c r="H49" s="2" t="s">
        <v>8</v>
      </c>
      <c r="I49" s="9" t="s">
        <v>48</v>
      </c>
      <c r="J49" s="4"/>
      <c r="K49" s="4"/>
    </row>
    <row r="50" spans="1:11" ht="21" customHeight="1" x14ac:dyDescent="0.3">
      <c r="A50" s="12" t="s">
        <v>18</v>
      </c>
      <c r="B50" s="30"/>
      <c r="C50" s="2"/>
      <c r="D50" s="2"/>
      <c r="E50" s="2" t="s">
        <v>113</v>
      </c>
      <c r="F50" s="2" t="s">
        <v>2</v>
      </c>
      <c r="G50" s="2"/>
      <c r="H50" s="2" t="s">
        <v>3</v>
      </c>
      <c r="I50" s="9"/>
      <c r="J50" s="2"/>
      <c r="K50" s="6"/>
    </row>
    <row r="51" spans="1:11" ht="21" customHeight="1" x14ac:dyDescent="0.3">
      <c r="A51" s="12" t="s">
        <v>21</v>
      </c>
      <c r="B51" s="30"/>
      <c r="C51" s="2"/>
      <c r="D51" s="2"/>
      <c r="E51" s="2" t="s">
        <v>113</v>
      </c>
      <c r="F51" s="2" t="s">
        <v>2</v>
      </c>
      <c r="G51" s="2"/>
      <c r="H51" s="2" t="s">
        <v>3</v>
      </c>
      <c r="I51" s="20" t="s">
        <v>80</v>
      </c>
      <c r="J51" s="2"/>
      <c r="K51" s="6"/>
    </row>
    <row r="52" spans="1:11" ht="21" customHeight="1" x14ac:dyDescent="0.3">
      <c r="A52" s="12" t="s">
        <v>25</v>
      </c>
      <c r="B52" s="30"/>
      <c r="C52" s="2"/>
      <c r="D52" s="2"/>
      <c r="E52" s="2" t="s">
        <v>113</v>
      </c>
      <c r="F52" s="2" t="s">
        <v>2</v>
      </c>
      <c r="G52" s="2"/>
      <c r="H52" s="2" t="s">
        <v>3</v>
      </c>
      <c r="I52" s="9"/>
      <c r="J52" s="2"/>
      <c r="K52" s="6"/>
    </row>
    <row r="53" spans="1:11" ht="21" customHeight="1" x14ac:dyDescent="0.3">
      <c r="A53" s="5" t="s">
        <v>35</v>
      </c>
      <c r="B53" s="30"/>
      <c r="C53" s="2"/>
      <c r="D53" s="2"/>
      <c r="E53" s="2" t="s">
        <v>113</v>
      </c>
      <c r="F53" s="2" t="s">
        <v>4</v>
      </c>
      <c r="G53" s="2"/>
      <c r="H53" s="2" t="s">
        <v>8</v>
      </c>
      <c r="I53" s="2" t="s">
        <v>42</v>
      </c>
      <c r="J53" s="2"/>
      <c r="K53" s="6"/>
    </row>
    <row r="54" spans="1:11" ht="21" customHeight="1" x14ac:dyDescent="0.3">
      <c r="A54" s="5" t="s">
        <v>67</v>
      </c>
      <c r="B54" s="30">
        <v>44528</v>
      </c>
      <c r="C54" s="6"/>
      <c r="D54" s="6"/>
      <c r="E54" s="2" t="s">
        <v>113</v>
      </c>
      <c r="F54" s="6" t="s">
        <v>51</v>
      </c>
      <c r="G54" s="6"/>
      <c r="H54" s="4" t="s">
        <v>3</v>
      </c>
      <c r="I54" s="2" t="s">
        <v>115</v>
      </c>
      <c r="J54" s="2"/>
      <c r="K54" s="2"/>
    </row>
    <row r="55" spans="1:11" ht="21" customHeight="1" x14ac:dyDescent="0.3">
      <c r="A55" s="4">
        <v>823</v>
      </c>
      <c r="B55" s="30">
        <v>45185</v>
      </c>
      <c r="C55" s="4"/>
      <c r="D55" s="4" t="s">
        <v>104</v>
      </c>
      <c r="E55" s="2" t="s">
        <v>113</v>
      </c>
      <c r="F55" s="4" t="s">
        <v>2</v>
      </c>
      <c r="G55" s="4"/>
      <c r="H55" s="2" t="s">
        <v>8</v>
      </c>
      <c r="I55" s="9"/>
      <c r="J55" s="4"/>
      <c r="K55" s="4"/>
    </row>
    <row r="56" spans="1:11" ht="21" customHeight="1" x14ac:dyDescent="0.3">
      <c r="A56" s="4">
        <v>824</v>
      </c>
      <c r="B56" s="30">
        <v>45430</v>
      </c>
      <c r="C56" s="4">
        <v>1321</v>
      </c>
      <c r="D56" s="4" t="s">
        <v>125</v>
      </c>
      <c r="E56" s="2" t="s">
        <v>113</v>
      </c>
      <c r="F56" s="4" t="s">
        <v>2</v>
      </c>
      <c r="G56" s="4">
        <v>24</v>
      </c>
      <c r="H56" s="2" t="s">
        <v>8</v>
      </c>
      <c r="I56" s="9"/>
      <c r="J56" s="4"/>
      <c r="K56" s="4"/>
    </row>
    <row r="57" spans="1:11" ht="21" customHeight="1" x14ac:dyDescent="0.3">
      <c r="A57" s="12" t="s">
        <v>15</v>
      </c>
      <c r="B57" s="30"/>
      <c r="C57" s="2"/>
      <c r="D57" s="2"/>
      <c r="E57" s="2" t="s">
        <v>113</v>
      </c>
      <c r="F57" s="2" t="s">
        <v>2</v>
      </c>
      <c r="G57" s="2"/>
      <c r="H57" s="2" t="s">
        <v>3</v>
      </c>
      <c r="I57" s="9"/>
      <c r="J57" s="2"/>
      <c r="K57" s="6"/>
    </row>
    <row r="58" spans="1:11" ht="21" customHeight="1" x14ac:dyDescent="0.3">
      <c r="A58" s="12" t="s">
        <v>16</v>
      </c>
      <c r="B58" s="30"/>
      <c r="C58" s="2"/>
      <c r="D58" s="2"/>
      <c r="E58" s="2" t="s">
        <v>113</v>
      </c>
      <c r="F58" s="2" t="s">
        <v>2</v>
      </c>
      <c r="G58" s="2"/>
      <c r="H58" s="2" t="s">
        <v>3</v>
      </c>
      <c r="I58" s="9" t="s">
        <v>81</v>
      </c>
      <c r="J58" s="2"/>
      <c r="K58" s="6"/>
    </row>
    <row r="59" spans="1:11" ht="21" customHeight="1" x14ac:dyDescent="0.3">
      <c r="A59" s="12" t="s">
        <v>36</v>
      </c>
      <c r="B59" s="30"/>
      <c r="C59" s="2"/>
      <c r="D59" s="2"/>
      <c r="E59" s="2" t="s">
        <v>113</v>
      </c>
      <c r="F59" s="2" t="s">
        <v>4</v>
      </c>
      <c r="G59" s="2"/>
      <c r="H59" s="2" t="s">
        <v>8</v>
      </c>
      <c r="I59" s="2" t="s">
        <v>42</v>
      </c>
      <c r="J59" s="2"/>
      <c r="K59" s="6"/>
    </row>
    <row r="60" spans="1:11" ht="21" customHeight="1" x14ac:dyDescent="0.3">
      <c r="A60" s="5" t="s">
        <v>68</v>
      </c>
      <c r="B60" s="30">
        <v>44529</v>
      </c>
      <c r="C60" s="4"/>
      <c r="D60" s="4"/>
      <c r="E60" s="2" t="s">
        <v>113</v>
      </c>
      <c r="F60" s="4" t="s">
        <v>51</v>
      </c>
      <c r="G60" s="4"/>
      <c r="H60" s="4" t="s">
        <v>3</v>
      </c>
      <c r="I60" s="9"/>
      <c r="J60" s="4"/>
      <c r="K60" s="4"/>
    </row>
    <row r="61" spans="1:11" ht="21" customHeight="1" x14ac:dyDescent="0.3">
      <c r="A61" s="5" t="s">
        <v>149</v>
      </c>
      <c r="B61" s="30">
        <v>44764</v>
      </c>
      <c r="C61" s="4"/>
      <c r="D61" s="4"/>
      <c r="E61" s="2" t="s">
        <v>113</v>
      </c>
      <c r="F61" s="4" t="s">
        <v>51</v>
      </c>
      <c r="G61" s="4"/>
      <c r="H61" s="4" t="s">
        <v>3</v>
      </c>
      <c r="I61" s="31" t="s">
        <v>111</v>
      </c>
      <c r="J61" s="4"/>
      <c r="K61" s="4"/>
    </row>
    <row r="62" spans="1:11" ht="21" customHeight="1" x14ac:dyDescent="0.3">
      <c r="A62" s="4">
        <v>923</v>
      </c>
      <c r="B62" s="30">
        <v>45186</v>
      </c>
      <c r="C62" s="4"/>
      <c r="D62" s="4" t="s">
        <v>105</v>
      </c>
      <c r="E62" s="31" t="s">
        <v>110</v>
      </c>
      <c r="F62" s="4" t="s">
        <v>2</v>
      </c>
      <c r="G62" s="4"/>
      <c r="H62" s="2" t="s">
        <v>8</v>
      </c>
      <c r="I62" s="9"/>
      <c r="J62" s="4"/>
      <c r="K62" s="4"/>
    </row>
    <row r="63" spans="1:11" ht="21" customHeight="1" x14ac:dyDescent="0.3">
      <c r="A63" s="4">
        <v>924</v>
      </c>
      <c r="B63" s="30">
        <v>45436</v>
      </c>
      <c r="C63" s="4">
        <v>118</v>
      </c>
      <c r="D63" s="4" t="s">
        <v>125</v>
      </c>
      <c r="E63" s="2" t="s">
        <v>113</v>
      </c>
      <c r="F63" s="4" t="s">
        <v>4</v>
      </c>
      <c r="G63" s="4">
        <v>30</v>
      </c>
      <c r="H63" s="2" t="s">
        <v>8</v>
      </c>
      <c r="I63" s="9"/>
      <c r="J63" s="4"/>
      <c r="K63" s="4"/>
    </row>
    <row r="64" spans="1:11" ht="21" customHeight="1" x14ac:dyDescent="0.3">
      <c r="A64" s="12">
        <v>1013</v>
      </c>
      <c r="B64" s="30"/>
      <c r="C64" s="2"/>
      <c r="D64" s="2"/>
      <c r="E64" s="2" t="s">
        <v>113</v>
      </c>
      <c r="F64" s="2" t="s">
        <v>2</v>
      </c>
      <c r="G64" s="2"/>
      <c r="H64" s="2" t="s">
        <v>3</v>
      </c>
      <c r="I64" s="2" t="s">
        <v>42</v>
      </c>
      <c r="J64" s="2"/>
      <c r="K64" s="6"/>
    </row>
    <row r="65" spans="1:12" ht="21" customHeight="1" x14ac:dyDescent="0.3">
      <c r="A65" s="12">
        <v>1015</v>
      </c>
      <c r="B65" s="30"/>
      <c r="C65" s="2"/>
      <c r="D65" s="2"/>
      <c r="E65" s="2" t="s">
        <v>113</v>
      </c>
      <c r="F65" s="2" t="s">
        <v>2</v>
      </c>
      <c r="G65" s="2"/>
      <c r="H65" s="2" t="s">
        <v>3</v>
      </c>
      <c r="I65" s="9"/>
      <c r="J65" s="2"/>
      <c r="K65" s="6"/>
    </row>
    <row r="66" spans="1:12" ht="21" customHeight="1" x14ac:dyDescent="0.3">
      <c r="A66" s="5">
        <v>1020</v>
      </c>
      <c r="B66" s="30"/>
      <c r="C66" s="2"/>
      <c r="D66" s="2"/>
      <c r="E66" s="2" t="s">
        <v>113</v>
      </c>
      <c r="F66" s="2" t="s">
        <v>4</v>
      </c>
      <c r="G66" s="2"/>
      <c r="H66" s="2" t="s">
        <v>8</v>
      </c>
      <c r="I66" s="2" t="s">
        <v>42</v>
      </c>
      <c r="J66" s="2"/>
      <c r="K66" s="6"/>
    </row>
    <row r="67" spans="1:12" ht="21" customHeight="1" x14ac:dyDescent="0.3">
      <c r="A67" s="4">
        <v>1021</v>
      </c>
      <c r="B67" s="30">
        <v>44534</v>
      </c>
      <c r="C67" s="4"/>
      <c r="D67" s="4"/>
      <c r="E67" s="2" t="s">
        <v>113</v>
      </c>
      <c r="F67" s="4" t="s">
        <v>52</v>
      </c>
      <c r="G67" s="4"/>
      <c r="H67" s="4" t="s">
        <v>8</v>
      </c>
      <c r="I67" s="2" t="s">
        <v>75</v>
      </c>
      <c r="J67" s="4"/>
      <c r="K67" s="4"/>
    </row>
    <row r="68" spans="1:12" ht="21" customHeight="1" x14ac:dyDescent="0.3">
      <c r="A68" s="4">
        <v>1021</v>
      </c>
      <c r="B68" s="30">
        <v>44534</v>
      </c>
      <c r="C68" s="4"/>
      <c r="D68" s="4"/>
      <c r="E68" s="2" t="s">
        <v>113</v>
      </c>
      <c r="F68" s="4" t="s">
        <v>52</v>
      </c>
      <c r="G68" s="4"/>
      <c r="H68" s="4" t="s">
        <v>8</v>
      </c>
      <c r="I68" s="2" t="s">
        <v>78</v>
      </c>
      <c r="J68" s="4"/>
      <c r="K68" s="4"/>
    </row>
    <row r="69" spans="1:12" ht="21" customHeight="1" x14ac:dyDescent="0.3">
      <c r="A69" s="4">
        <v>1022</v>
      </c>
      <c r="B69" s="30">
        <v>44782</v>
      </c>
      <c r="C69" s="4"/>
      <c r="D69" s="4"/>
      <c r="E69" s="2" t="s">
        <v>113</v>
      </c>
      <c r="F69" s="4" t="s">
        <v>51</v>
      </c>
      <c r="G69" s="4"/>
      <c r="H69" s="4" t="s">
        <v>3</v>
      </c>
      <c r="I69" s="2"/>
      <c r="J69" s="4"/>
      <c r="K69" s="4"/>
    </row>
    <row r="70" spans="1:12" ht="21" customHeight="1" x14ac:dyDescent="0.3">
      <c r="A70" s="4">
        <v>1024</v>
      </c>
      <c r="B70" s="30">
        <v>821</v>
      </c>
      <c r="C70" s="4">
        <v>821</v>
      </c>
      <c r="D70" s="4" t="s">
        <v>125</v>
      </c>
      <c r="E70" s="2" t="s">
        <v>113</v>
      </c>
      <c r="F70" s="4" t="s">
        <v>2</v>
      </c>
      <c r="G70" s="4">
        <v>25</v>
      </c>
      <c r="I70" s="2" t="s">
        <v>126</v>
      </c>
      <c r="J70" s="4"/>
      <c r="K70" s="4"/>
    </row>
    <row r="71" spans="1:12" ht="21" customHeight="1" x14ac:dyDescent="0.3">
      <c r="A71" s="5">
        <v>1120</v>
      </c>
      <c r="B71" s="30"/>
      <c r="C71" s="14"/>
      <c r="D71" s="14"/>
      <c r="E71" s="2" t="s">
        <v>113</v>
      </c>
      <c r="F71" s="2" t="s">
        <v>2</v>
      </c>
      <c r="G71" s="2"/>
      <c r="H71" s="2" t="s">
        <v>10</v>
      </c>
      <c r="I71" s="9"/>
      <c r="J71" s="2"/>
      <c r="K71" s="6"/>
    </row>
    <row r="72" spans="1:12" ht="21" customHeight="1" x14ac:dyDescent="0.3">
      <c r="A72" s="17" t="s">
        <v>73</v>
      </c>
      <c r="B72" s="30">
        <v>44903</v>
      </c>
      <c r="C72" s="4"/>
      <c r="D72" s="4"/>
      <c r="E72" s="2" t="s">
        <v>113</v>
      </c>
      <c r="F72" s="4" t="s">
        <v>51</v>
      </c>
      <c r="G72" s="4"/>
      <c r="H72" s="4" t="s">
        <v>3</v>
      </c>
      <c r="I72" s="9"/>
      <c r="J72" s="4"/>
      <c r="K72" s="4"/>
    </row>
    <row r="73" spans="1:12" ht="21" customHeight="1" x14ac:dyDescent="0.3">
      <c r="A73" s="4">
        <v>1122</v>
      </c>
      <c r="B73" s="30">
        <v>44820</v>
      </c>
      <c r="C73" s="4"/>
      <c r="D73" s="4"/>
      <c r="E73" s="2" t="s">
        <v>113</v>
      </c>
      <c r="F73" s="4" t="s">
        <v>4</v>
      </c>
      <c r="G73" s="4"/>
      <c r="H73" s="4" t="s">
        <v>8</v>
      </c>
      <c r="I73" s="9" t="s">
        <v>99</v>
      </c>
      <c r="J73" s="4"/>
      <c r="K73" s="4"/>
      <c r="L73" s="31" t="s">
        <v>110</v>
      </c>
    </row>
    <row r="74" spans="1:12" ht="21" customHeight="1" x14ac:dyDescent="0.3">
      <c r="A74" s="4">
        <v>1123</v>
      </c>
      <c r="B74" s="30">
        <v>45201</v>
      </c>
      <c r="C74" s="4">
        <v>815</v>
      </c>
      <c r="D74" s="4" t="s">
        <v>103</v>
      </c>
      <c r="E74" s="2" t="s">
        <v>113</v>
      </c>
      <c r="F74" s="4" t="s">
        <v>2</v>
      </c>
      <c r="G74" s="4">
        <v>19</v>
      </c>
      <c r="H74" s="4" t="s">
        <v>3</v>
      </c>
      <c r="I74" s="9"/>
      <c r="J74" s="4"/>
      <c r="K74" s="4"/>
      <c r="L74" s="24"/>
    </row>
    <row r="75" spans="1:12" ht="21" customHeight="1" x14ac:dyDescent="0.3">
      <c r="A75" s="4">
        <v>1124</v>
      </c>
      <c r="B75" s="30">
        <v>45513</v>
      </c>
      <c r="C75" s="4">
        <v>215</v>
      </c>
      <c r="D75" s="4" t="s">
        <v>127</v>
      </c>
      <c r="E75" s="2" t="s">
        <v>113</v>
      </c>
      <c r="F75" s="4" t="s">
        <v>2</v>
      </c>
      <c r="G75" s="4">
        <v>26</v>
      </c>
      <c r="H75" s="4" t="s">
        <v>3</v>
      </c>
      <c r="I75" s="2" t="s">
        <v>152</v>
      </c>
      <c r="J75" s="4"/>
      <c r="K75" s="4"/>
      <c r="L75" s="38"/>
    </row>
    <row r="76" spans="1:12" ht="21" customHeight="1" x14ac:dyDescent="0.3">
      <c r="A76" s="5">
        <v>1220</v>
      </c>
      <c r="B76" s="30"/>
      <c r="C76" s="2"/>
      <c r="D76" s="2"/>
      <c r="E76" s="2" t="s">
        <v>113</v>
      </c>
      <c r="F76" s="2" t="s">
        <v>2</v>
      </c>
      <c r="G76" s="2"/>
      <c r="H76" s="2" t="s">
        <v>3</v>
      </c>
      <c r="I76" s="9"/>
      <c r="J76" s="2"/>
      <c r="K76" s="6"/>
    </row>
    <row r="77" spans="1:12" ht="21" customHeight="1" x14ac:dyDescent="0.3">
      <c r="A77" s="4">
        <v>1222</v>
      </c>
      <c r="B77" s="30">
        <v>44823</v>
      </c>
      <c r="C77" s="4"/>
      <c r="D77" s="4"/>
      <c r="E77" s="2" t="s">
        <v>113</v>
      </c>
      <c r="F77" s="4" t="s">
        <v>2</v>
      </c>
      <c r="G77" s="4"/>
      <c r="H77" s="4" t="s">
        <v>3</v>
      </c>
      <c r="I77" s="103" t="s">
        <v>190</v>
      </c>
      <c r="J77" s="4"/>
      <c r="K77" s="4"/>
    </row>
    <row r="78" spans="1:12" ht="21" customHeight="1" x14ac:dyDescent="0.3">
      <c r="A78" s="4">
        <v>1224</v>
      </c>
      <c r="B78" s="30">
        <v>45520</v>
      </c>
      <c r="C78" s="4">
        <v>1220</v>
      </c>
      <c r="D78" s="4" t="s">
        <v>127</v>
      </c>
      <c r="E78" s="2" t="s">
        <v>113</v>
      </c>
      <c r="F78" s="4" t="s">
        <v>2</v>
      </c>
      <c r="G78" s="4">
        <v>27</v>
      </c>
      <c r="H78" s="4" t="s">
        <v>3</v>
      </c>
      <c r="I78" s="9"/>
      <c r="J78" s="4"/>
      <c r="K78" s="4"/>
    </row>
    <row r="79" spans="1:12" ht="21" customHeight="1" x14ac:dyDescent="0.3">
      <c r="A79" s="12">
        <v>1311</v>
      </c>
      <c r="B79" s="30"/>
      <c r="C79" s="2"/>
      <c r="D79" s="2"/>
      <c r="E79" s="2" t="s">
        <v>113</v>
      </c>
      <c r="F79" s="2" t="s">
        <v>2</v>
      </c>
      <c r="G79" s="2"/>
      <c r="H79" s="2" t="s">
        <v>3</v>
      </c>
      <c r="I79" s="2" t="s">
        <v>42</v>
      </c>
      <c r="J79" s="2"/>
      <c r="K79" s="6" t="s">
        <v>47</v>
      </c>
    </row>
    <row r="80" spans="1:12" ht="21" customHeight="1" x14ac:dyDescent="0.3">
      <c r="A80" s="5">
        <v>1319</v>
      </c>
      <c r="B80" s="30"/>
      <c r="C80" s="2"/>
      <c r="D80" s="2"/>
      <c r="E80" s="2" t="s">
        <v>113</v>
      </c>
      <c r="F80" s="2" t="s">
        <v>2</v>
      </c>
      <c r="G80" s="2"/>
      <c r="H80" s="2" t="s">
        <v>3</v>
      </c>
      <c r="I80" s="9"/>
      <c r="J80" s="2"/>
      <c r="K80" s="6"/>
    </row>
    <row r="81" spans="1:11" ht="21" customHeight="1" x14ac:dyDescent="0.3">
      <c r="A81" s="5">
        <v>1320</v>
      </c>
      <c r="B81" s="30"/>
      <c r="C81" s="14"/>
      <c r="D81" s="14"/>
      <c r="E81" s="2" t="s">
        <v>113</v>
      </c>
      <c r="F81" s="2" t="s">
        <v>4</v>
      </c>
      <c r="G81" s="2"/>
      <c r="H81" s="14" t="s">
        <v>11</v>
      </c>
      <c r="I81" s="9"/>
      <c r="J81" s="2"/>
      <c r="K81" s="6"/>
    </row>
    <row r="82" spans="1:11" ht="21" customHeight="1" x14ac:dyDescent="0.3">
      <c r="A82" s="17" t="s">
        <v>72</v>
      </c>
      <c r="B82" s="30">
        <v>44922</v>
      </c>
      <c r="C82" s="4"/>
      <c r="D82" s="4"/>
      <c r="E82" s="2" t="s">
        <v>113</v>
      </c>
      <c r="F82" s="4" t="s">
        <v>51</v>
      </c>
      <c r="G82" s="4"/>
      <c r="H82" s="4" t="s">
        <v>3</v>
      </c>
      <c r="I82" s="9"/>
      <c r="J82" s="4"/>
      <c r="K82" s="4"/>
    </row>
    <row r="83" spans="1:11" ht="21" customHeight="1" x14ac:dyDescent="0.3">
      <c r="A83" s="4">
        <v>1322</v>
      </c>
      <c r="B83" s="30">
        <v>44835</v>
      </c>
      <c r="C83" s="4">
        <v>617</v>
      </c>
      <c r="D83" s="4" t="s">
        <v>83</v>
      </c>
      <c r="E83" s="2" t="s">
        <v>113</v>
      </c>
      <c r="F83" s="4" t="s">
        <v>4</v>
      </c>
      <c r="G83" s="4"/>
      <c r="H83" s="4" t="s">
        <v>8</v>
      </c>
      <c r="I83" s="9"/>
      <c r="J83" s="4"/>
      <c r="K83" s="4"/>
    </row>
    <row r="84" spans="1:11" ht="21" customHeight="1" x14ac:dyDescent="0.3">
      <c r="A84" s="4">
        <v>1324</v>
      </c>
      <c r="B84" s="30">
        <v>45567</v>
      </c>
      <c r="C84" s="4">
        <v>815</v>
      </c>
      <c r="D84" s="4" t="s">
        <v>122</v>
      </c>
      <c r="E84" s="2" t="s">
        <v>113</v>
      </c>
      <c r="F84" s="4" t="s">
        <v>2</v>
      </c>
      <c r="G84" s="4">
        <v>10</v>
      </c>
      <c r="H84" s="4" t="s">
        <v>8</v>
      </c>
      <c r="I84" s="9"/>
      <c r="J84" s="4"/>
      <c r="K84" s="4"/>
    </row>
    <row r="85" spans="1:11" ht="21" customHeight="1" x14ac:dyDescent="0.3">
      <c r="A85" s="12">
        <v>1416</v>
      </c>
      <c r="B85" s="30"/>
      <c r="C85" s="2"/>
      <c r="D85" s="2"/>
      <c r="E85" s="2" t="s">
        <v>113</v>
      </c>
      <c r="F85" s="2" t="s">
        <v>2</v>
      </c>
      <c r="G85" s="2"/>
      <c r="H85" s="2" t="s">
        <v>3</v>
      </c>
      <c r="I85" s="9"/>
      <c r="J85" s="2"/>
      <c r="K85" s="6"/>
    </row>
    <row r="86" spans="1:11" ht="21" customHeight="1" x14ac:dyDescent="0.3">
      <c r="A86" s="12">
        <v>1417</v>
      </c>
      <c r="B86" s="30"/>
      <c r="C86" s="2"/>
      <c r="D86" s="2"/>
      <c r="E86" s="2" t="s">
        <v>113</v>
      </c>
      <c r="F86" s="2" t="s">
        <v>2</v>
      </c>
      <c r="G86" s="2"/>
      <c r="H86" s="2" t="s">
        <v>3</v>
      </c>
      <c r="I86" s="9"/>
      <c r="J86" s="2"/>
      <c r="K86" s="6"/>
    </row>
    <row r="87" spans="1:11" ht="21" customHeight="1" x14ac:dyDescent="0.3">
      <c r="A87" s="5">
        <v>1420</v>
      </c>
      <c r="B87" s="30"/>
      <c r="C87" s="2"/>
      <c r="D87" s="2"/>
      <c r="E87" s="2" t="s">
        <v>113</v>
      </c>
      <c r="F87" s="2" t="s">
        <v>2</v>
      </c>
      <c r="G87" s="2"/>
      <c r="H87" s="2" t="s">
        <v>12</v>
      </c>
      <c r="I87" s="9"/>
      <c r="J87" s="2"/>
      <c r="K87" s="6"/>
    </row>
    <row r="88" spans="1:11" ht="21" customHeight="1" x14ac:dyDescent="0.3">
      <c r="A88" s="5" t="s">
        <v>84</v>
      </c>
      <c r="B88" s="30">
        <v>44844</v>
      </c>
      <c r="C88" s="2">
        <v>1614</v>
      </c>
      <c r="D88" s="4" t="s">
        <v>82</v>
      </c>
      <c r="E88" s="2" t="s">
        <v>113</v>
      </c>
      <c r="F88" s="2" t="s">
        <v>2</v>
      </c>
      <c r="G88" s="2"/>
      <c r="H88" s="2" t="s">
        <v>3</v>
      </c>
      <c r="I88" s="2"/>
      <c r="J88" s="2"/>
      <c r="K88" s="6"/>
    </row>
    <row r="89" spans="1:11" ht="21" customHeight="1" x14ac:dyDescent="0.3">
      <c r="A89" s="5" t="s">
        <v>129</v>
      </c>
      <c r="B89" s="30">
        <v>45577</v>
      </c>
      <c r="C89" s="2">
        <v>321</v>
      </c>
      <c r="D89" s="4" t="s">
        <v>104</v>
      </c>
      <c r="E89" s="2" t="s">
        <v>113</v>
      </c>
      <c r="F89" s="2" t="s">
        <v>2</v>
      </c>
      <c r="G89" s="2">
        <v>25</v>
      </c>
      <c r="H89" s="2" t="s">
        <v>3</v>
      </c>
      <c r="I89" s="2"/>
      <c r="J89" s="2"/>
      <c r="K89" s="6"/>
    </row>
    <row r="90" spans="1:11" ht="21" customHeight="1" x14ac:dyDescent="0.3">
      <c r="A90" s="5">
        <v>1518</v>
      </c>
      <c r="B90" s="30"/>
      <c r="C90" s="2"/>
      <c r="D90" s="2"/>
      <c r="E90" s="2" t="s">
        <v>113</v>
      </c>
      <c r="F90" s="2" t="s">
        <v>2</v>
      </c>
      <c r="G90" s="2"/>
      <c r="H90" s="2" t="s">
        <v>3</v>
      </c>
      <c r="I90" s="2" t="s">
        <v>42</v>
      </c>
      <c r="J90" s="2"/>
      <c r="K90" s="6"/>
    </row>
    <row r="91" spans="1:11" ht="21" customHeight="1" x14ac:dyDescent="0.3">
      <c r="A91" s="7">
        <v>1520</v>
      </c>
      <c r="B91" s="30"/>
      <c r="C91" s="2"/>
      <c r="D91" s="2"/>
      <c r="E91" s="2" t="s">
        <v>113</v>
      </c>
      <c r="F91" s="2" t="s">
        <v>2</v>
      </c>
      <c r="G91" s="2"/>
      <c r="H91" s="2" t="s">
        <v>50</v>
      </c>
      <c r="I91" s="9"/>
      <c r="J91" s="2"/>
      <c r="K91" s="6"/>
    </row>
    <row r="92" spans="1:11" ht="21" customHeight="1" x14ac:dyDescent="0.3">
      <c r="A92" s="4">
        <v>1522</v>
      </c>
      <c r="B92" s="30">
        <v>44865</v>
      </c>
      <c r="C92" s="4">
        <v>1417</v>
      </c>
      <c r="D92" s="4" t="s">
        <v>82</v>
      </c>
      <c r="E92" s="2" t="s">
        <v>113</v>
      </c>
      <c r="F92" s="2" t="s">
        <v>2</v>
      </c>
      <c r="G92" s="2"/>
      <c r="H92" s="4" t="s">
        <v>8</v>
      </c>
      <c r="I92" s="103" t="s">
        <v>189</v>
      </c>
      <c r="J92" s="4"/>
      <c r="K92" s="4"/>
    </row>
    <row r="93" spans="1:11" ht="21" customHeight="1" x14ac:dyDescent="0.3">
      <c r="A93" s="4">
        <v>1523</v>
      </c>
      <c r="B93" s="30"/>
      <c r="C93" s="4"/>
      <c r="D93" s="4"/>
      <c r="E93" s="2"/>
      <c r="F93" s="2"/>
      <c r="G93" s="2"/>
      <c r="H93" s="4"/>
      <c r="I93" s="2" t="s">
        <v>115</v>
      </c>
      <c r="J93" s="4"/>
      <c r="K93" s="4"/>
    </row>
    <row r="94" spans="1:11" ht="21" customHeight="1" x14ac:dyDescent="0.3">
      <c r="A94" s="4">
        <v>1524</v>
      </c>
      <c r="B94" s="84"/>
      <c r="C94" s="35"/>
      <c r="D94" s="35"/>
      <c r="E94" s="2" t="s">
        <v>113</v>
      </c>
      <c r="F94" s="2" t="s">
        <v>2</v>
      </c>
      <c r="G94" s="2"/>
      <c r="H94" s="4"/>
      <c r="I94" s="2"/>
      <c r="J94" s="4"/>
      <c r="K94" s="4"/>
    </row>
    <row r="95" spans="1:11" ht="21" customHeight="1" x14ac:dyDescent="0.3">
      <c r="A95" s="12">
        <v>1614</v>
      </c>
      <c r="B95" s="30"/>
      <c r="C95" s="2"/>
      <c r="D95" s="2"/>
      <c r="E95" s="2" t="s">
        <v>113</v>
      </c>
      <c r="F95" s="2" t="s">
        <v>2</v>
      </c>
      <c r="G95" s="2"/>
      <c r="H95" s="2" t="s">
        <v>3</v>
      </c>
      <c r="I95" s="9"/>
      <c r="J95" s="2"/>
      <c r="K95" s="6"/>
    </row>
    <row r="96" spans="1:11" ht="21" customHeight="1" x14ac:dyDescent="0.3">
      <c r="A96" s="7">
        <v>1620</v>
      </c>
      <c r="B96" s="30"/>
      <c r="C96" s="2"/>
      <c r="D96" s="2"/>
      <c r="E96" s="2" t="s">
        <v>113</v>
      </c>
      <c r="F96" s="2" t="s">
        <v>4</v>
      </c>
      <c r="G96" s="2"/>
      <c r="H96" s="2" t="s">
        <v>8</v>
      </c>
      <c r="I96" s="2" t="s">
        <v>42</v>
      </c>
      <c r="J96" s="2"/>
      <c r="K96" s="6"/>
    </row>
    <row r="97" spans="1:11" ht="21" customHeight="1" x14ac:dyDescent="0.3">
      <c r="A97" s="7">
        <v>1623</v>
      </c>
      <c r="B97" s="30"/>
      <c r="C97" s="2"/>
      <c r="D97" s="2"/>
      <c r="E97" s="2" t="s">
        <v>113</v>
      </c>
      <c r="F97" s="2"/>
      <c r="G97" s="2"/>
      <c r="H97" s="2"/>
      <c r="I97" s="2" t="s">
        <v>115</v>
      </c>
      <c r="J97" s="2"/>
      <c r="K97" s="6"/>
    </row>
    <row r="98" spans="1:11" ht="21" customHeight="1" x14ac:dyDescent="0.3">
      <c r="A98" s="12">
        <v>1716</v>
      </c>
      <c r="B98" s="30"/>
      <c r="C98" s="2"/>
      <c r="D98" s="2"/>
      <c r="E98" s="2" t="s">
        <v>113</v>
      </c>
      <c r="F98" s="2" t="s">
        <v>2</v>
      </c>
      <c r="G98" s="2"/>
      <c r="H98" s="2" t="s">
        <v>3</v>
      </c>
      <c r="I98" s="9" t="s">
        <v>81</v>
      </c>
      <c r="J98" s="2"/>
      <c r="K98" s="6"/>
    </row>
    <row r="99" spans="1:11" ht="21" customHeight="1" x14ac:dyDescent="0.3">
      <c r="A99" s="7">
        <v>1720</v>
      </c>
      <c r="B99" s="30"/>
      <c r="C99" s="14"/>
      <c r="D99" s="14"/>
      <c r="E99" s="2" t="s">
        <v>113</v>
      </c>
      <c r="F99" s="2" t="s">
        <v>4</v>
      </c>
      <c r="G99" s="2"/>
      <c r="H99" s="14" t="s">
        <v>13</v>
      </c>
      <c r="I99" s="9"/>
      <c r="J99" s="2"/>
      <c r="K99" s="6"/>
    </row>
    <row r="100" spans="1:11" ht="21" customHeight="1" x14ac:dyDescent="0.3">
      <c r="A100" s="12">
        <v>1812</v>
      </c>
      <c r="B100" s="30"/>
      <c r="C100" s="2"/>
      <c r="D100" s="2"/>
      <c r="E100" s="2" t="s">
        <v>113</v>
      </c>
      <c r="F100" s="2" t="s">
        <v>2</v>
      </c>
      <c r="G100" s="2"/>
      <c r="H100" s="2" t="s">
        <v>3</v>
      </c>
      <c r="I100" s="2" t="s">
        <v>42</v>
      </c>
      <c r="J100" s="2"/>
      <c r="K100" s="6"/>
    </row>
    <row r="101" spans="1:11" ht="21" customHeight="1" x14ac:dyDescent="0.3">
      <c r="A101" s="12">
        <v>1813</v>
      </c>
      <c r="B101" s="30"/>
      <c r="C101" s="2"/>
      <c r="D101" s="2"/>
      <c r="E101" s="2" t="s">
        <v>113</v>
      </c>
      <c r="F101" s="2" t="s">
        <v>2</v>
      </c>
      <c r="G101" s="2"/>
      <c r="H101" s="2" t="s">
        <v>3</v>
      </c>
      <c r="I101" s="2" t="s">
        <v>42</v>
      </c>
      <c r="J101" s="2"/>
      <c r="K101" s="6"/>
    </row>
    <row r="102" spans="1:11" ht="21" customHeight="1" x14ac:dyDescent="0.3">
      <c r="A102" s="7">
        <v>1820</v>
      </c>
      <c r="B102" s="30"/>
      <c r="C102" s="2"/>
      <c r="D102" s="2"/>
      <c r="E102" s="2" t="s">
        <v>113</v>
      </c>
      <c r="F102" s="2" t="s">
        <v>4</v>
      </c>
      <c r="G102" s="2"/>
      <c r="H102" s="2" t="s">
        <v>8</v>
      </c>
      <c r="I102" s="9" t="s">
        <v>48</v>
      </c>
      <c r="J102" s="2"/>
      <c r="K102" s="6"/>
    </row>
    <row r="103" spans="1:11" ht="21" customHeight="1" x14ac:dyDescent="0.3">
      <c r="A103" s="12">
        <v>1913</v>
      </c>
      <c r="B103" s="30"/>
      <c r="C103" s="2"/>
      <c r="D103" s="2"/>
      <c r="E103" s="2" t="s">
        <v>113</v>
      </c>
      <c r="F103" s="2" t="s">
        <v>2</v>
      </c>
      <c r="G103" s="2"/>
      <c r="H103" s="2" t="s">
        <v>3</v>
      </c>
      <c r="I103" s="9"/>
      <c r="J103" s="2"/>
      <c r="K103" s="6"/>
    </row>
    <row r="104" spans="1:11" ht="21" customHeight="1" x14ac:dyDescent="0.3">
      <c r="A104" s="12">
        <v>1916</v>
      </c>
      <c r="B104" s="30"/>
      <c r="C104" s="2"/>
      <c r="D104" s="2"/>
      <c r="E104" s="2" t="s">
        <v>113</v>
      </c>
      <c r="F104" s="2" t="s">
        <v>2</v>
      </c>
      <c r="G104" s="2"/>
      <c r="H104" s="2" t="s">
        <v>3</v>
      </c>
      <c r="I104" s="9"/>
      <c r="J104" s="2"/>
      <c r="K104" s="6"/>
    </row>
    <row r="105" spans="1:11" ht="21" customHeight="1" x14ac:dyDescent="0.3">
      <c r="A105" s="12">
        <v>1917</v>
      </c>
      <c r="B105" s="30"/>
      <c r="C105" s="2"/>
      <c r="D105" s="2"/>
      <c r="E105" s="2" t="s">
        <v>113</v>
      </c>
      <c r="F105" s="2" t="s">
        <v>2</v>
      </c>
      <c r="G105" s="2"/>
      <c r="H105" s="2" t="s">
        <v>3</v>
      </c>
      <c r="I105" s="9"/>
      <c r="J105" s="2"/>
      <c r="K105" s="6"/>
    </row>
    <row r="106" spans="1:11" ht="21" customHeight="1" x14ac:dyDescent="0.3">
      <c r="A106" s="12" t="s">
        <v>49</v>
      </c>
      <c r="B106" s="30"/>
      <c r="C106" s="13"/>
      <c r="D106" s="13"/>
      <c r="E106" s="2" t="s">
        <v>113</v>
      </c>
      <c r="F106" s="2" t="s">
        <v>2</v>
      </c>
      <c r="G106" s="2"/>
      <c r="H106" s="13">
        <v>44141</v>
      </c>
      <c r="I106" s="9"/>
      <c r="J106" s="2"/>
      <c r="K106" s="6"/>
    </row>
    <row r="107" spans="1:11" ht="21" customHeight="1" x14ac:dyDescent="0.3">
      <c r="A107" s="12">
        <v>2016</v>
      </c>
      <c r="B107" s="30"/>
      <c r="C107" s="2"/>
      <c r="D107" s="2"/>
      <c r="E107" s="2" t="s">
        <v>113</v>
      </c>
      <c r="F107" s="2" t="s">
        <v>2</v>
      </c>
      <c r="G107" s="2"/>
      <c r="H107" s="2" t="s">
        <v>3</v>
      </c>
      <c r="I107" s="9"/>
      <c r="J107" s="2"/>
      <c r="K107" s="6"/>
    </row>
    <row r="108" spans="1:11" ht="21" customHeight="1" x14ac:dyDescent="0.3">
      <c r="A108" s="5">
        <v>2018</v>
      </c>
      <c r="B108" s="2"/>
      <c r="C108" s="2"/>
      <c r="D108" s="2"/>
      <c r="E108" s="2" t="s">
        <v>113</v>
      </c>
      <c r="F108" s="2" t="s">
        <v>2</v>
      </c>
      <c r="G108" s="2"/>
      <c r="H108" s="2" t="s">
        <v>3</v>
      </c>
      <c r="I108" s="2" t="s">
        <v>115</v>
      </c>
      <c r="J108" s="2"/>
      <c r="K108" s="6" t="s">
        <v>128</v>
      </c>
    </row>
    <row r="109" spans="1:11" ht="21" customHeight="1" x14ac:dyDescent="0.3">
      <c r="A109" s="5" t="s">
        <v>44</v>
      </c>
      <c r="B109" s="2"/>
      <c r="C109" s="2"/>
      <c r="D109" s="2"/>
      <c r="E109" s="2" t="s">
        <v>113</v>
      </c>
      <c r="F109" s="2" t="s">
        <v>4</v>
      </c>
      <c r="G109" s="2"/>
      <c r="H109" s="2" t="s">
        <v>8</v>
      </c>
      <c r="I109" s="2" t="s">
        <v>42</v>
      </c>
      <c r="J109" s="2"/>
      <c r="K109" s="6"/>
    </row>
    <row r="110" spans="1:11" ht="21" customHeight="1" x14ac:dyDescent="0.3">
      <c r="A110" s="5" t="s">
        <v>45</v>
      </c>
      <c r="B110" s="2"/>
      <c r="C110" s="2"/>
      <c r="D110" s="2"/>
      <c r="E110" s="2" t="s">
        <v>113</v>
      </c>
      <c r="F110" s="2" t="s">
        <v>4</v>
      </c>
      <c r="G110" s="2"/>
      <c r="H110" s="2" t="s">
        <v>8</v>
      </c>
      <c r="I110" s="2" t="s">
        <v>42</v>
      </c>
      <c r="J110" s="2"/>
      <c r="K110" s="6"/>
    </row>
    <row r="111" spans="1:11" ht="21" customHeight="1" x14ac:dyDescent="0.3">
      <c r="A111" s="5" t="s">
        <v>46</v>
      </c>
      <c r="B111" s="2"/>
      <c r="C111" s="2"/>
      <c r="D111" s="2"/>
      <c r="E111" s="2" t="s">
        <v>113</v>
      </c>
      <c r="F111" s="2" t="s">
        <v>4</v>
      </c>
      <c r="G111" s="2"/>
      <c r="H111" s="2" t="s">
        <v>8</v>
      </c>
      <c r="I111" s="2" t="s">
        <v>42</v>
      </c>
      <c r="J111" s="2"/>
      <c r="K111" s="6"/>
    </row>
  </sheetData>
  <sortState xmlns:xlrd2="http://schemas.microsoft.com/office/spreadsheetml/2017/richdata2" ref="A4:K111">
    <sortCondition ref="A4:A111"/>
  </sortState>
  <phoneticPr fontId="17" type="noConversion"/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tabSelected="1" zoomScaleNormal="100" workbookViewId="0">
      <pane ySplit="3" topLeftCell="A55" activePane="bottomLeft" state="frozen"/>
      <selection pane="bottomLeft" activeCell="N6" sqref="N6"/>
    </sheetView>
  </sheetViews>
  <sheetFormatPr baseColWidth="10" defaultColWidth="18.5" defaultRowHeight="18" customHeight="1" x14ac:dyDescent="0.3"/>
  <cols>
    <col min="1" max="1" width="10.09765625" style="3" customWidth="1"/>
    <col min="2" max="2" width="13" style="3" customWidth="1"/>
    <col min="3" max="3" width="15.3984375" style="3" customWidth="1"/>
    <col min="4" max="4" width="8.19921875" style="3" customWidth="1"/>
    <col min="5" max="5" width="10.5" style="3" customWidth="1"/>
    <col min="6" max="6" width="7" style="3" customWidth="1"/>
    <col min="7" max="7" width="8.796875" style="3" customWidth="1"/>
    <col min="8" max="8" width="17.09765625" style="3" customWidth="1"/>
    <col min="9" max="10" width="10.8984375" style="3" customWidth="1"/>
    <col min="11" max="11" width="10.8984375" style="106" customWidth="1"/>
    <col min="12" max="16384" width="18.5" style="3"/>
  </cols>
  <sheetData>
    <row r="1" spans="1:11" ht="25.5" customHeight="1" thickBot="1" x14ac:dyDescent="0.4">
      <c r="C1" s="105" t="s">
        <v>191</v>
      </c>
      <c r="E1" s="11"/>
      <c r="F1" s="11"/>
      <c r="I1" s="112" t="s">
        <v>192</v>
      </c>
      <c r="J1" s="10"/>
    </row>
    <row r="2" spans="1:11" ht="18" customHeight="1" thickBot="1" x14ac:dyDescent="0.35">
      <c r="A2" s="102" t="s">
        <v>135</v>
      </c>
      <c r="I2" s="101" t="s">
        <v>144</v>
      </c>
      <c r="J2" s="100" t="s">
        <v>145</v>
      </c>
      <c r="K2" s="107" t="s">
        <v>146</v>
      </c>
    </row>
    <row r="3" spans="1:11" s="15" customFormat="1" ht="25.5" customHeight="1" thickBot="1" x14ac:dyDescent="0.35">
      <c r="A3" s="96">
        <f>SUM(A4:A62)</f>
        <v>43</v>
      </c>
      <c r="B3" s="97" t="s">
        <v>136</v>
      </c>
      <c r="C3" s="97" t="s">
        <v>107</v>
      </c>
      <c r="D3" s="97" t="s">
        <v>121</v>
      </c>
      <c r="E3" s="98" t="s">
        <v>143</v>
      </c>
      <c r="F3" s="97" t="s">
        <v>87</v>
      </c>
      <c r="G3" s="99" t="s">
        <v>60</v>
      </c>
      <c r="H3" s="98" t="s">
        <v>140</v>
      </c>
      <c r="I3" s="100">
        <f>COUNT(I4:I62)</f>
        <v>15</v>
      </c>
      <c r="J3" s="100">
        <f>COUNT(J4:J62)</f>
        <v>9</v>
      </c>
      <c r="K3" s="107">
        <v>6</v>
      </c>
    </row>
    <row r="4" spans="1:11" s="15" customFormat="1" ht="15.5" customHeight="1" x14ac:dyDescent="0.3">
      <c r="A4" s="91">
        <v>1</v>
      </c>
      <c r="B4" s="92" t="s">
        <v>139</v>
      </c>
      <c r="C4" s="93" t="s">
        <v>134</v>
      </c>
      <c r="D4" s="65">
        <v>70</v>
      </c>
      <c r="E4" s="94">
        <f t="shared" ref="E4:E35" si="0">+D4*1500</f>
        <v>105000</v>
      </c>
      <c r="F4" s="65" t="s">
        <v>51</v>
      </c>
      <c r="G4" s="65">
        <v>100</v>
      </c>
      <c r="H4" s="65" t="s">
        <v>141</v>
      </c>
      <c r="I4" s="95"/>
      <c r="J4" s="64"/>
      <c r="K4" s="108"/>
    </row>
    <row r="5" spans="1:11" s="15" customFormat="1" ht="15.5" customHeight="1" x14ac:dyDescent="0.3">
      <c r="A5" s="20">
        <v>1</v>
      </c>
      <c r="B5" s="31" t="s">
        <v>137</v>
      </c>
      <c r="C5" s="31" t="s">
        <v>108</v>
      </c>
      <c r="D5" s="4">
        <v>453</v>
      </c>
      <c r="E5" s="34">
        <f t="shared" si="0"/>
        <v>679500</v>
      </c>
      <c r="F5" s="19" t="s">
        <v>51</v>
      </c>
      <c r="G5" s="23">
        <v>118</v>
      </c>
      <c r="H5" s="19" t="s">
        <v>3</v>
      </c>
      <c r="I5" s="19"/>
      <c r="J5" s="19"/>
      <c r="K5" s="109"/>
    </row>
    <row r="6" spans="1:11" s="16" customFormat="1" ht="15.5" customHeight="1" x14ac:dyDescent="0.3">
      <c r="A6" s="20">
        <v>1</v>
      </c>
      <c r="B6" s="31" t="s">
        <v>138</v>
      </c>
      <c r="C6" s="31" t="s">
        <v>110</v>
      </c>
      <c r="D6" s="4">
        <v>134</v>
      </c>
      <c r="E6" s="34">
        <f t="shared" si="0"/>
        <v>201000</v>
      </c>
      <c r="F6" s="26" t="s">
        <v>51</v>
      </c>
      <c r="G6" s="19">
        <v>124</v>
      </c>
      <c r="H6" s="19" t="s">
        <v>3</v>
      </c>
      <c r="I6" s="18">
        <v>45315</v>
      </c>
      <c r="J6" s="18"/>
      <c r="K6" s="109"/>
    </row>
    <row r="7" spans="1:11" s="16" customFormat="1" ht="15.5" customHeight="1" x14ac:dyDescent="0.3">
      <c r="A7" s="20">
        <v>1</v>
      </c>
      <c r="B7" s="31" t="s">
        <v>137</v>
      </c>
      <c r="C7" s="31" t="s">
        <v>108</v>
      </c>
      <c r="D7" s="4">
        <v>461</v>
      </c>
      <c r="E7" s="34">
        <f t="shared" si="0"/>
        <v>691500</v>
      </c>
      <c r="F7" s="19" t="s">
        <v>51</v>
      </c>
      <c r="G7" s="23">
        <v>215</v>
      </c>
      <c r="H7" s="19" t="s">
        <v>3</v>
      </c>
      <c r="I7" s="18"/>
      <c r="J7" s="19"/>
      <c r="K7" s="109"/>
    </row>
    <row r="8" spans="1:11" s="16" customFormat="1" ht="15.5" customHeight="1" x14ac:dyDescent="0.3">
      <c r="A8" s="20">
        <v>0</v>
      </c>
      <c r="B8" s="31" t="s">
        <v>137</v>
      </c>
      <c r="C8" s="31" t="s">
        <v>108</v>
      </c>
      <c r="D8" s="4">
        <v>0</v>
      </c>
      <c r="E8" s="34">
        <f t="shared" si="0"/>
        <v>0</v>
      </c>
      <c r="F8" s="19" t="s">
        <v>52</v>
      </c>
      <c r="G8" s="23">
        <v>224</v>
      </c>
      <c r="H8" s="19" t="s">
        <v>8</v>
      </c>
      <c r="I8" s="18">
        <v>45359</v>
      </c>
      <c r="J8" s="18">
        <v>45400</v>
      </c>
      <c r="K8" s="109"/>
    </row>
    <row r="9" spans="1:11" s="16" customFormat="1" ht="15.5" customHeight="1" x14ac:dyDescent="0.3">
      <c r="A9" s="20">
        <v>0</v>
      </c>
      <c r="B9" s="31" t="s">
        <v>137</v>
      </c>
      <c r="C9" s="31" t="s">
        <v>108</v>
      </c>
      <c r="D9" s="4">
        <v>0</v>
      </c>
      <c r="E9" s="34">
        <f t="shared" si="0"/>
        <v>0</v>
      </c>
      <c r="F9" s="36" t="s">
        <v>51</v>
      </c>
      <c r="G9" s="23">
        <v>313</v>
      </c>
      <c r="H9" s="19" t="s">
        <v>3</v>
      </c>
      <c r="I9" s="18"/>
      <c r="J9" s="18">
        <v>45412</v>
      </c>
      <c r="K9" s="109"/>
    </row>
    <row r="10" spans="1:11" s="16" customFormat="1" ht="15.5" customHeight="1" x14ac:dyDescent="0.3">
      <c r="A10" s="20">
        <v>1</v>
      </c>
      <c r="B10" s="31" t="s">
        <v>137</v>
      </c>
      <c r="C10" s="31" t="s">
        <v>108</v>
      </c>
      <c r="D10" s="4">
        <v>369</v>
      </c>
      <c r="E10" s="34">
        <f t="shared" si="0"/>
        <v>553500</v>
      </c>
      <c r="F10" s="19" t="s">
        <v>51</v>
      </c>
      <c r="G10" s="23">
        <v>321</v>
      </c>
      <c r="H10" s="19" t="s">
        <v>3</v>
      </c>
      <c r="I10" s="18"/>
      <c r="J10" s="19"/>
      <c r="K10" s="109"/>
    </row>
    <row r="11" spans="1:11" s="16" customFormat="1" ht="15.5" customHeight="1" x14ac:dyDescent="0.3">
      <c r="A11" s="20">
        <v>0</v>
      </c>
      <c r="B11" s="31" t="s">
        <v>137</v>
      </c>
      <c r="C11" s="31" t="s">
        <v>108</v>
      </c>
      <c r="D11" s="4">
        <v>0</v>
      </c>
      <c r="E11" s="34">
        <f t="shared" si="0"/>
        <v>0</v>
      </c>
      <c r="F11" s="19" t="s">
        <v>51</v>
      </c>
      <c r="G11" s="23">
        <v>323</v>
      </c>
      <c r="H11" s="19" t="s">
        <v>3</v>
      </c>
      <c r="I11" s="18"/>
      <c r="J11" s="19"/>
      <c r="K11" s="109" t="s">
        <v>147</v>
      </c>
    </row>
    <row r="12" spans="1:11" s="16" customFormat="1" ht="15.5" customHeight="1" x14ac:dyDescent="0.3">
      <c r="A12" s="20">
        <v>0</v>
      </c>
      <c r="B12" s="31" t="s">
        <v>137</v>
      </c>
      <c r="C12" s="31" t="s">
        <v>108</v>
      </c>
      <c r="D12" s="4">
        <v>0</v>
      </c>
      <c r="E12" s="34">
        <f t="shared" si="0"/>
        <v>0</v>
      </c>
      <c r="F12" s="19" t="s">
        <v>52</v>
      </c>
      <c r="G12" s="23">
        <v>324</v>
      </c>
      <c r="H12" s="19" t="s">
        <v>8</v>
      </c>
      <c r="I12" s="18">
        <v>45372</v>
      </c>
      <c r="J12" s="18">
        <v>45377</v>
      </c>
      <c r="K12" s="109"/>
    </row>
    <row r="13" spans="1:11" s="16" customFormat="1" ht="15.5" customHeight="1" x14ac:dyDescent="0.3">
      <c r="A13" s="20">
        <v>1</v>
      </c>
      <c r="B13" s="31" t="s">
        <v>138</v>
      </c>
      <c r="C13" s="31" t="s">
        <v>110</v>
      </c>
      <c r="D13" s="4">
        <v>276</v>
      </c>
      <c r="E13" s="34">
        <f t="shared" si="0"/>
        <v>414000</v>
      </c>
      <c r="F13" s="19" t="s">
        <v>51</v>
      </c>
      <c r="G13" s="23">
        <v>423</v>
      </c>
      <c r="H13" s="19" t="s">
        <v>3</v>
      </c>
      <c r="I13" s="18"/>
      <c r="J13" s="19"/>
      <c r="K13" s="109"/>
    </row>
    <row r="14" spans="1:11" s="16" customFormat="1" ht="15.5" customHeight="1" x14ac:dyDescent="0.3">
      <c r="A14" s="20">
        <v>1</v>
      </c>
      <c r="B14" s="31" t="s">
        <v>137</v>
      </c>
      <c r="C14" s="31" t="s">
        <v>108</v>
      </c>
      <c r="D14" s="4">
        <v>122.5</v>
      </c>
      <c r="E14" s="34">
        <f t="shared" si="0"/>
        <v>183750</v>
      </c>
      <c r="F14" s="19" t="s">
        <v>51</v>
      </c>
      <c r="G14" s="23">
        <v>424</v>
      </c>
      <c r="H14" s="19" t="s">
        <v>3</v>
      </c>
      <c r="I14" s="18">
        <v>45381</v>
      </c>
      <c r="J14" s="18"/>
      <c r="K14" s="109"/>
    </row>
    <row r="15" spans="1:11" s="16" customFormat="1" ht="15.5" customHeight="1" x14ac:dyDescent="0.3">
      <c r="A15" s="20">
        <v>1</v>
      </c>
      <c r="B15" s="31" t="s">
        <v>137</v>
      </c>
      <c r="C15" s="31" t="s">
        <v>108</v>
      </c>
      <c r="D15" s="4">
        <v>214</v>
      </c>
      <c r="E15" s="34">
        <f t="shared" si="0"/>
        <v>321000</v>
      </c>
      <c r="F15" s="4" t="s">
        <v>51</v>
      </c>
      <c r="G15" s="20">
        <v>523</v>
      </c>
      <c r="H15" s="19" t="s">
        <v>3</v>
      </c>
      <c r="I15" s="18"/>
      <c r="J15" s="19"/>
      <c r="K15" s="109"/>
    </row>
    <row r="16" spans="1:11" s="16" customFormat="1" ht="15.5" customHeight="1" x14ac:dyDescent="0.3">
      <c r="A16" s="20">
        <v>1</v>
      </c>
      <c r="B16" s="31" t="s">
        <v>137</v>
      </c>
      <c r="C16" s="31" t="s">
        <v>108</v>
      </c>
      <c r="D16" s="3">
        <v>85.5</v>
      </c>
      <c r="E16" s="34">
        <f t="shared" si="0"/>
        <v>128250</v>
      </c>
      <c r="F16" s="4" t="s">
        <v>52</v>
      </c>
      <c r="G16" s="20">
        <v>524</v>
      </c>
      <c r="H16" s="19" t="s">
        <v>8</v>
      </c>
      <c r="I16" s="18">
        <v>45394</v>
      </c>
      <c r="J16" s="18"/>
      <c r="K16" s="109"/>
    </row>
    <row r="17" spans="1:11" s="16" customFormat="1" ht="15.5" customHeight="1" x14ac:dyDescent="0.3">
      <c r="A17" s="20">
        <v>1</v>
      </c>
      <c r="B17" s="31" t="s">
        <v>137</v>
      </c>
      <c r="C17" s="31" t="s">
        <v>108</v>
      </c>
      <c r="D17" s="4">
        <v>480</v>
      </c>
      <c r="E17" s="34">
        <f t="shared" si="0"/>
        <v>720000</v>
      </c>
      <c r="F17" s="19" t="s">
        <v>51</v>
      </c>
      <c r="G17" s="23">
        <v>615</v>
      </c>
      <c r="H17" s="19" t="s">
        <v>3</v>
      </c>
      <c r="I17" s="18"/>
      <c r="J17" s="19"/>
      <c r="K17" s="109"/>
    </row>
    <row r="18" spans="1:11" s="16" customFormat="1" ht="15.5" customHeight="1" x14ac:dyDescent="0.3">
      <c r="A18" s="20">
        <v>1</v>
      </c>
      <c r="B18" s="31" t="s">
        <v>137</v>
      </c>
      <c r="C18" s="31" t="s">
        <v>108</v>
      </c>
      <c r="D18" s="4">
        <v>349</v>
      </c>
      <c r="E18" s="34">
        <f t="shared" si="0"/>
        <v>523500</v>
      </c>
      <c r="F18" s="19" t="s">
        <v>51</v>
      </c>
      <c r="G18" s="23">
        <v>617</v>
      </c>
      <c r="H18" s="19" t="s">
        <v>3</v>
      </c>
      <c r="I18" s="18"/>
      <c r="J18" s="19"/>
      <c r="K18" s="109"/>
    </row>
    <row r="19" spans="1:11" s="16" customFormat="1" ht="15.5" customHeight="1" x14ac:dyDescent="0.3">
      <c r="A19" s="20">
        <v>0</v>
      </c>
      <c r="B19" s="31" t="s">
        <v>137</v>
      </c>
      <c r="C19" s="31" t="s">
        <v>108</v>
      </c>
      <c r="D19" s="4">
        <v>0</v>
      </c>
      <c r="E19" s="34">
        <f t="shared" si="0"/>
        <v>0</v>
      </c>
      <c r="F19" s="19" t="s">
        <v>51</v>
      </c>
      <c r="G19" s="23">
        <v>624</v>
      </c>
      <c r="H19" s="19" t="s">
        <v>3</v>
      </c>
      <c r="I19" s="18">
        <v>45413</v>
      </c>
      <c r="J19" s="18">
        <v>45413</v>
      </c>
      <c r="K19" s="109"/>
    </row>
    <row r="20" spans="1:11" s="16" customFormat="1" ht="15.5" customHeight="1" x14ac:dyDescent="0.3">
      <c r="A20" s="20">
        <v>1</v>
      </c>
      <c r="B20" s="31" t="s">
        <v>137</v>
      </c>
      <c r="C20" s="31" t="s">
        <v>108</v>
      </c>
      <c r="D20" s="4">
        <v>350</v>
      </c>
      <c r="E20" s="34">
        <f t="shared" si="0"/>
        <v>525000</v>
      </c>
      <c r="F20" s="19" t="s">
        <v>51</v>
      </c>
      <c r="G20" s="23">
        <v>715</v>
      </c>
      <c r="H20" s="19" t="s">
        <v>3</v>
      </c>
      <c r="I20" s="18"/>
      <c r="J20" s="19"/>
      <c r="K20" s="109"/>
    </row>
    <row r="21" spans="1:11" s="16" customFormat="1" ht="15.5" customHeight="1" x14ac:dyDescent="0.3">
      <c r="A21" s="20">
        <v>1</v>
      </c>
      <c r="B21" s="31" t="s">
        <v>137</v>
      </c>
      <c r="C21" s="31" t="s">
        <v>108</v>
      </c>
      <c r="D21" s="4">
        <v>344</v>
      </c>
      <c r="E21" s="34">
        <f t="shared" si="0"/>
        <v>516000</v>
      </c>
      <c r="F21" s="19" t="s">
        <v>51</v>
      </c>
      <c r="G21" s="23">
        <v>720</v>
      </c>
      <c r="H21" s="19" t="s">
        <v>3</v>
      </c>
      <c r="I21" s="18"/>
      <c r="J21" s="19"/>
      <c r="K21" s="109"/>
    </row>
    <row r="22" spans="1:11" s="16" customFormat="1" ht="15.5" customHeight="1" x14ac:dyDescent="0.3">
      <c r="A22" s="20">
        <v>0</v>
      </c>
      <c r="B22" s="31" t="s">
        <v>138</v>
      </c>
      <c r="C22" s="31" t="s">
        <v>112</v>
      </c>
      <c r="D22" s="4">
        <v>0</v>
      </c>
      <c r="E22" s="34">
        <f t="shared" si="0"/>
        <v>0</v>
      </c>
      <c r="F22" s="4" t="s">
        <v>51</v>
      </c>
      <c r="G22" s="20">
        <v>721</v>
      </c>
      <c r="H22" s="19" t="s">
        <v>3</v>
      </c>
      <c r="I22" s="18"/>
      <c r="J22" s="18"/>
      <c r="K22" s="109" t="s">
        <v>148</v>
      </c>
    </row>
    <row r="23" spans="1:11" s="16" customFormat="1" ht="15.5" customHeight="1" x14ac:dyDescent="0.3">
      <c r="A23" s="20">
        <v>1</v>
      </c>
      <c r="B23" s="31" t="s">
        <v>138</v>
      </c>
      <c r="C23" s="31" t="s">
        <v>110</v>
      </c>
      <c r="D23" s="4">
        <v>321</v>
      </c>
      <c r="E23" s="34">
        <f t="shared" si="0"/>
        <v>481500</v>
      </c>
      <c r="F23" s="4" t="s">
        <v>52</v>
      </c>
      <c r="G23" s="20">
        <v>723</v>
      </c>
      <c r="H23" s="19" t="s">
        <v>8</v>
      </c>
      <c r="I23" s="18"/>
      <c r="J23" s="19"/>
      <c r="K23" s="109"/>
    </row>
    <row r="24" spans="1:11" s="16" customFormat="1" ht="15.5" customHeight="1" x14ac:dyDescent="0.3">
      <c r="A24" s="20">
        <v>0</v>
      </c>
      <c r="B24" s="31" t="s">
        <v>137</v>
      </c>
      <c r="C24" s="31" t="s">
        <v>108</v>
      </c>
      <c r="D24" s="4">
        <v>0</v>
      </c>
      <c r="E24" s="34">
        <f t="shared" si="0"/>
        <v>0</v>
      </c>
      <c r="F24" s="4" t="s">
        <v>52</v>
      </c>
      <c r="G24" s="20">
        <v>724</v>
      </c>
      <c r="H24" s="19" t="s">
        <v>8</v>
      </c>
      <c r="I24" s="18">
        <v>45420</v>
      </c>
      <c r="J24" s="18">
        <v>45420</v>
      </c>
      <c r="K24" s="109"/>
    </row>
    <row r="25" spans="1:11" s="16" customFormat="1" ht="15.5" customHeight="1" x14ac:dyDescent="0.3">
      <c r="A25" s="20">
        <v>1</v>
      </c>
      <c r="B25" s="31" t="s">
        <v>137</v>
      </c>
      <c r="C25" s="31" t="s">
        <v>108</v>
      </c>
      <c r="D25" s="4">
        <v>368</v>
      </c>
      <c r="E25" s="34">
        <f t="shared" si="0"/>
        <v>552000</v>
      </c>
      <c r="F25" s="19" t="s">
        <v>51</v>
      </c>
      <c r="G25" s="23">
        <v>815</v>
      </c>
      <c r="H25" s="19" t="s">
        <v>3</v>
      </c>
      <c r="I25" s="18"/>
      <c r="J25" s="19"/>
      <c r="K25" s="109"/>
    </row>
    <row r="26" spans="1:11" s="16" customFormat="1" ht="15.5" customHeight="1" x14ac:dyDescent="0.3">
      <c r="A26" s="20">
        <v>0</v>
      </c>
      <c r="B26" s="31" t="s">
        <v>137</v>
      </c>
      <c r="C26" s="31" t="s">
        <v>108</v>
      </c>
      <c r="D26" s="4">
        <v>0</v>
      </c>
      <c r="E26" s="34">
        <f t="shared" si="0"/>
        <v>0</v>
      </c>
      <c r="F26" s="4" t="s">
        <v>51</v>
      </c>
      <c r="G26" s="20">
        <v>821</v>
      </c>
      <c r="H26" s="19" t="s">
        <v>3</v>
      </c>
      <c r="I26" s="18"/>
      <c r="J26" s="19"/>
      <c r="K26" s="109" t="s">
        <v>148</v>
      </c>
    </row>
    <row r="27" spans="1:11" s="16" customFormat="1" ht="15.5" customHeight="1" x14ac:dyDescent="0.3">
      <c r="A27" s="20">
        <v>1</v>
      </c>
      <c r="B27" s="31" t="s">
        <v>137</v>
      </c>
      <c r="C27" s="31" t="s">
        <v>108</v>
      </c>
      <c r="D27" s="4">
        <v>55</v>
      </c>
      <c r="E27" s="34">
        <f t="shared" si="0"/>
        <v>82500</v>
      </c>
      <c r="F27" s="6" t="s">
        <v>51</v>
      </c>
      <c r="G27" s="23">
        <v>824</v>
      </c>
      <c r="H27" s="19" t="s">
        <v>3</v>
      </c>
      <c r="I27" s="18">
        <v>45430</v>
      </c>
      <c r="J27" s="18"/>
      <c r="K27" s="109"/>
    </row>
    <row r="28" spans="1:11" s="16" customFormat="1" ht="15.5" customHeight="1" x14ac:dyDescent="0.3">
      <c r="A28" s="20">
        <v>1</v>
      </c>
      <c r="B28" s="31" t="s">
        <v>137</v>
      </c>
      <c r="C28" s="31" t="s">
        <v>108</v>
      </c>
      <c r="D28" s="4">
        <v>345</v>
      </c>
      <c r="E28" s="34">
        <f t="shared" si="0"/>
        <v>517500</v>
      </c>
      <c r="F28" s="4" t="s">
        <v>51</v>
      </c>
      <c r="G28" s="23">
        <v>921</v>
      </c>
      <c r="H28" s="19" t="s">
        <v>3</v>
      </c>
      <c r="I28" s="18"/>
      <c r="J28" s="19"/>
      <c r="K28" s="109"/>
    </row>
    <row r="29" spans="1:11" s="16" customFormat="1" ht="15.5" customHeight="1" x14ac:dyDescent="0.3">
      <c r="A29" s="20">
        <v>1</v>
      </c>
      <c r="B29" s="31" t="s">
        <v>138</v>
      </c>
      <c r="C29" s="31" t="s">
        <v>111</v>
      </c>
      <c r="D29" s="4">
        <v>407</v>
      </c>
      <c r="E29" s="34">
        <f t="shared" si="0"/>
        <v>610500</v>
      </c>
      <c r="F29" s="4" t="s">
        <v>51</v>
      </c>
      <c r="G29" s="23">
        <v>922</v>
      </c>
      <c r="H29" s="19" t="s">
        <v>3</v>
      </c>
      <c r="I29" s="18"/>
      <c r="J29" s="19"/>
      <c r="K29" s="109"/>
    </row>
    <row r="30" spans="1:11" s="16" customFormat="1" ht="15.5" customHeight="1" x14ac:dyDescent="0.3">
      <c r="A30" s="20">
        <v>1</v>
      </c>
      <c r="B30" s="31" t="s">
        <v>137</v>
      </c>
      <c r="C30" s="31" t="s">
        <v>108</v>
      </c>
      <c r="D30" s="4">
        <v>218</v>
      </c>
      <c r="E30" s="34">
        <f t="shared" si="0"/>
        <v>327000</v>
      </c>
      <c r="F30" s="4" t="s">
        <v>51</v>
      </c>
      <c r="G30" s="20">
        <v>923</v>
      </c>
      <c r="H30" s="19" t="s">
        <v>3</v>
      </c>
      <c r="I30" s="18"/>
      <c r="J30" s="19"/>
      <c r="K30" s="109"/>
    </row>
    <row r="31" spans="1:11" s="16" customFormat="1" ht="15.5" customHeight="1" x14ac:dyDescent="0.3">
      <c r="A31" s="20"/>
      <c r="B31" s="31" t="s">
        <v>137</v>
      </c>
      <c r="C31" s="31" t="s">
        <v>108</v>
      </c>
      <c r="D31" s="4">
        <v>95</v>
      </c>
      <c r="E31" s="34">
        <f t="shared" si="0"/>
        <v>142500</v>
      </c>
      <c r="F31" s="4" t="s">
        <v>52</v>
      </c>
      <c r="G31" s="20">
        <v>924</v>
      </c>
      <c r="H31" s="19" t="s">
        <v>8</v>
      </c>
      <c r="I31" s="18">
        <v>45436</v>
      </c>
      <c r="J31" s="19"/>
      <c r="K31" s="109"/>
    </row>
    <row r="32" spans="1:11" s="16" customFormat="1" ht="15.5" customHeight="1" x14ac:dyDescent="0.3">
      <c r="A32" s="20">
        <v>1</v>
      </c>
      <c r="B32" s="31" t="s">
        <v>137</v>
      </c>
      <c r="C32" s="31" t="s">
        <v>108</v>
      </c>
      <c r="D32" s="4">
        <v>387</v>
      </c>
      <c r="E32" s="34">
        <f t="shared" si="0"/>
        <v>580500</v>
      </c>
      <c r="F32" s="19" t="s">
        <v>51</v>
      </c>
      <c r="G32" s="17">
        <v>1015</v>
      </c>
      <c r="H32" s="19" t="s">
        <v>3</v>
      </c>
      <c r="I32" s="18"/>
      <c r="J32" s="19"/>
      <c r="K32" s="109"/>
    </row>
    <row r="33" spans="1:11" s="16" customFormat="1" ht="15.5" customHeight="1" x14ac:dyDescent="0.3">
      <c r="A33" s="20">
        <v>1</v>
      </c>
      <c r="B33" s="31" t="s">
        <v>137</v>
      </c>
      <c r="C33" s="31" t="s">
        <v>108</v>
      </c>
      <c r="D33" s="4">
        <v>176</v>
      </c>
      <c r="E33" s="34">
        <f t="shared" si="0"/>
        <v>264000</v>
      </c>
      <c r="F33" s="19" t="s">
        <v>51</v>
      </c>
      <c r="G33" s="23">
        <v>1023</v>
      </c>
      <c r="H33" s="19" t="s">
        <v>3</v>
      </c>
      <c r="I33" s="18"/>
      <c r="J33" s="19"/>
      <c r="K33" s="109"/>
    </row>
    <row r="34" spans="1:11" s="16" customFormat="1" ht="15.5" customHeight="1" x14ac:dyDescent="0.3">
      <c r="A34" s="20">
        <v>0</v>
      </c>
      <c r="B34" s="31" t="s">
        <v>137</v>
      </c>
      <c r="C34" s="31" t="s">
        <v>108</v>
      </c>
      <c r="D34" s="4">
        <v>0</v>
      </c>
      <c r="E34" s="34">
        <f t="shared" si="0"/>
        <v>0</v>
      </c>
      <c r="F34" s="19" t="s">
        <v>51</v>
      </c>
      <c r="G34" s="23">
        <v>1024</v>
      </c>
      <c r="H34" s="19" t="s">
        <v>3</v>
      </c>
      <c r="I34" s="18">
        <v>821</v>
      </c>
      <c r="J34" s="18">
        <v>45494</v>
      </c>
      <c r="K34" s="109"/>
    </row>
    <row r="35" spans="1:11" s="16" customFormat="1" ht="15.5" customHeight="1" x14ac:dyDescent="0.3">
      <c r="A35" s="20">
        <v>1</v>
      </c>
      <c r="B35" s="31" t="s">
        <v>137</v>
      </c>
      <c r="C35" s="31" t="s">
        <v>108</v>
      </c>
      <c r="D35" s="3">
        <v>379</v>
      </c>
      <c r="E35" s="34">
        <f t="shared" si="0"/>
        <v>568500</v>
      </c>
      <c r="F35" s="4" t="s">
        <v>51</v>
      </c>
      <c r="G35" s="23">
        <v>1121</v>
      </c>
      <c r="H35" s="19" t="s">
        <v>3</v>
      </c>
      <c r="I35" s="18"/>
      <c r="J35" s="19"/>
      <c r="K35" s="109"/>
    </row>
    <row r="36" spans="1:11" s="16" customFormat="1" ht="15.5" customHeight="1" x14ac:dyDescent="0.3">
      <c r="A36" s="20">
        <v>1</v>
      </c>
      <c r="B36" s="31" t="s">
        <v>138</v>
      </c>
      <c r="C36" s="31" t="s">
        <v>110</v>
      </c>
      <c r="D36" s="4">
        <v>206</v>
      </c>
      <c r="E36" s="34">
        <f t="shared" ref="E36:E62" si="1">+D36*1500</f>
        <v>309000</v>
      </c>
      <c r="F36" s="4" t="s">
        <v>51</v>
      </c>
      <c r="G36" s="23">
        <v>1123</v>
      </c>
      <c r="H36" s="19" t="s">
        <v>3</v>
      </c>
      <c r="I36" s="18"/>
      <c r="J36" s="19"/>
      <c r="K36" s="109"/>
    </row>
    <row r="37" spans="1:11" s="16" customFormat="1" ht="15.5" customHeight="1" x14ac:dyDescent="0.3">
      <c r="A37" s="20">
        <v>0</v>
      </c>
      <c r="B37" s="31" t="s">
        <v>137</v>
      </c>
      <c r="C37" s="31" t="s">
        <v>108</v>
      </c>
      <c r="D37" s="4">
        <v>0</v>
      </c>
      <c r="E37" s="34">
        <f t="shared" si="1"/>
        <v>0</v>
      </c>
      <c r="F37" s="4" t="s">
        <v>51</v>
      </c>
      <c r="G37" s="23">
        <v>1124</v>
      </c>
      <c r="H37" s="19" t="s">
        <v>3</v>
      </c>
      <c r="I37" s="18">
        <v>45513</v>
      </c>
      <c r="J37" s="18">
        <v>45558</v>
      </c>
      <c r="K37" s="109"/>
    </row>
    <row r="38" spans="1:11" s="16" customFormat="1" ht="15.5" customHeight="1" x14ac:dyDescent="0.3">
      <c r="A38" s="20">
        <v>1</v>
      </c>
      <c r="B38" s="31" t="s">
        <v>137</v>
      </c>
      <c r="C38" s="31" t="s">
        <v>108</v>
      </c>
      <c r="D38" s="4">
        <v>352</v>
      </c>
      <c r="E38" s="34">
        <f t="shared" si="1"/>
        <v>528000</v>
      </c>
      <c r="F38" s="19" t="s">
        <v>51</v>
      </c>
      <c r="G38" s="17">
        <v>1220</v>
      </c>
      <c r="H38" s="19" t="s">
        <v>3</v>
      </c>
      <c r="I38" s="18"/>
      <c r="J38" s="19"/>
      <c r="K38" s="109"/>
    </row>
    <row r="39" spans="1:11" ht="15.5" customHeight="1" x14ac:dyDescent="0.3">
      <c r="A39" s="20">
        <v>0</v>
      </c>
      <c r="B39" s="31" t="s">
        <v>137</v>
      </c>
      <c r="C39" s="31" t="s">
        <v>108</v>
      </c>
      <c r="D39" s="4">
        <v>0</v>
      </c>
      <c r="E39" s="34">
        <f t="shared" si="1"/>
        <v>0</v>
      </c>
      <c r="F39" s="19" t="s">
        <v>51</v>
      </c>
      <c r="G39" s="23">
        <v>1222</v>
      </c>
      <c r="H39" s="19" t="s">
        <v>3</v>
      </c>
      <c r="I39" s="18"/>
      <c r="J39" s="103">
        <v>45341</v>
      </c>
      <c r="K39" s="109"/>
    </row>
    <row r="40" spans="1:11" ht="15.5" customHeight="1" x14ac:dyDescent="0.3">
      <c r="A40" s="20">
        <v>1</v>
      </c>
      <c r="B40" s="31" t="s">
        <v>137</v>
      </c>
      <c r="C40" s="31" t="s">
        <v>108</v>
      </c>
      <c r="D40" s="4">
        <v>160</v>
      </c>
      <c r="E40" s="34">
        <f t="shared" si="1"/>
        <v>240000</v>
      </c>
      <c r="F40" s="19" t="s">
        <v>51</v>
      </c>
      <c r="G40" s="23">
        <v>1223</v>
      </c>
      <c r="H40" s="19" t="s">
        <v>3</v>
      </c>
      <c r="I40" s="18"/>
      <c r="J40" s="19"/>
      <c r="K40" s="109"/>
    </row>
    <row r="41" spans="1:11" ht="15.5" customHeight="1" x14ac:dyDescent="0.3">
      <c r="A41" s="20">
        <v>1</v>
      </c>
      <c r="B41" s="31" t="s">
        <v>137</v>
      </c>
      <c r="C41" s="31" t="s">
        <v>108</v>
      </c>
      <c r="D41" s="4">
        <v>31</v>
      </c>
      <c r="E41" s="34">
        <f t="shared" si="1"/>
        <v>46500</v>
      </c>
      <c r="F41" s="19" t="s">
        <v>51</v>
      </c>
      <c r="G41" s="23">
        <v>1224</v>
      </c>
      <c r="H41" s="19" t="s">
        <v>3</v>
      </c>
      <c r="I41" s="18">
        <v>45520</v>
      </c>
      <c r="J41" s="19"/>
      <c r="K41" s="109"/>
    </row>
    <row r="42" spans="1:11" ht="15.5" customHeight="1" x14ac:dyDescent="0.3">
      <c r="A42" s="20">
        <v>1</v>
      </c>
      <c r="B42" s="31" t="s">
        <v>137</v>
      </c>
      <c r="C42" s="31" t="s">
        <v>108</v>
      </c>
      <c r="D42" s="4">
        <v>412</v>
      </c>
      <c r="E42" s="34">
        <f t="shared" si="1"/>
        <v>618000</v>
      </c>
      <c r="F42" s="19" t="s">
        <v>51</v>
      </c>
      <c r="G42" s="32">
        <v>1319</v>
      </c>
      <c r="H42" s="19" t="s">
        <v>3</v>
      </c>
      <c r="I42" s="18"/>
      <c r="J42" s="19"/>
      <c r="K42" s="110"/>
    </row>
    <row r="43" spans="1:11" ht="15.5" customHeight="1" x14ac:dyDescent="0.3">
      <c r="A43" s="20">
        <v>1</v>
      </c>
      <c r="B43" s="31" t="s">
        <v>137</v>
      </c>
      <c r="C43" s="31" t="s">
        <v>108</v>
      </c>
      <c r="D43" s="4">
        <v>336</v>
      </c>
      <c r="E43" s="34">
        <f t="shared" si="1"/>
        <v>504000</v>
      </c>
      <c r="F43" s="19" t="s">
        <v>51</v>
      </c>
      <c r="G43" s="23">
        <v>1321</v>
      </c>
      <c r="H43" s="19" t="s">
        <v>3</v>
      </c>
      <c r="I43" s="18"/>
      <c r="J43" s="19"/>
      <c r="K43" s="109"/>
    </row>
    <row r="44" spans="1:11" s="29" customFormat="1" ht="15.5" customHeight="1" x14ac:dyDescent="0.3">
      <c r="A44" s="20">
        <v>1</v>
      </c>
      <c r="B44" s="31" t="s">
        <v>137</v>
      </c>
      <c r="C44" s="31" t="s">
        <v>108</v>
      </c>
      <c r="D44" s="4">
        <v>26.5</v>
      </c>
      <c r="E44" s="34">
        <f t="shared" si="1"/>
        <v>39750</v>
      </c>
      <c r="F44" s="19" t="s">
        <v>51</v>
      </c>
      <c r="G44" s="23">
        <v>1324</v>
      </c>
      <c r="H44" s="19" t="s">
        <v>3</v>
      </c>
      <c r="I44" s="18">
        <v>45567</v>
      </c>
      <c r="J44" s="18"/>
      <c r="K44" s="109"/>
    </row>
    <row r="45" spans="1:11" ht="15.5" customHeight="1" x14ac:dyDescent="0.3">
      <c r="A45" s="20">
        <v>1</v>
      </c>
      <c r="B45" s="31" t="s">
        <v>137</v>
      </c>
      <c r="C45" s="31" t="s">
        <v>108</v>
      </c>
      <c r="D45" s="4">
        <v>448.5</v>
      </c>
      <c r="E45" s="34">
        <f t="shared" si="1"/>
        <v>672750</v>
      </c>
      <c r="F45" s="19" t="s">
        <v>51</v>
      </c>
      <c r="G45" s="17">
        <v>1416</v>
      </c>
      <c r="H45" s="19" t="s">
        <v>3</v>
      </c>
      <c r="I45" s="18"/>
      <c r="J45" s="19"/>
      <c r="K45" s="109"/>
    </row>
    <row r="46" spans="1:11" ht="15.5" customHeight="1" x14ac:dyDescent="0.3">
      <c r="A46" s="20">
        <v>1</v>
      </c>
      <c r="B46" s="31" t="s">
        <v>137</v>
      </c>
      <c r="C46" s="31" t="s">
        <v>108</v>
      </c>
      <c r="D46" s="4">
        <v>390</v>
      </c>
      <c r="E46" s="34">
        <f t="shared" si="1"/>
        <v>585000</v>
      </c>
      <c r="F46" s="19" t="s">
        <v>51</v>
      </c>
      <c r="G46" s="17">
        <v>1417</v>
      </c>
      <c r="H46" s="19" t="s">
        <v>3</v>
      </c>
      <c r="I46" s="18"/>
      <c r="J46" s="19"/>
      <c r="K46" s="109"/>
    </row>
    <row r="47" spans="1:11" ht="15.5" customHeight="1" x14ac:dyDescent="0.3">
      <c r="A47" s="20">
        <v>1</v>
      </c>
      <c r="B47" s="31" t="s">
        <v>137</v>
      </c>
      <c r="C47" s="31" t="s">
        <v>108</v>
      </c>
      <c r="D47" s="4">
        <v>294</v>
      </c>
      <c r="E47" s="34">
        <f t="shared" si="1"/>
        <v>441000</v>
      </c>
      <c r="F47" s="4" t="s">
        <v>51</v>
      </c>
      <c r="G47" s="20">
        <v>1422</v>
      </c>
      <c r="H47" s="19" t="s">
        <v>3</v>
      </c>
      <c r="I47" s="18"/>
      <c r="J47" s="19"/>
      <c r="K47" s="109"/>
    </row>
    <row r="48" spans="1:11" ht="15.5" customHeight="1" x14ac:dyDescent="0.3">
      <c r="A48" s="20">
        <v>1</v>
      </c>
      <c r="B48" s="31" t="s">
        <v>137</v>
      </c>
      <c r="C48" s="31" t="s">
        <v>108</v>
      </c>
      <c r="D48" s="4">
        <v>26</v>
      </c>
      <c r="E48" s="34">
        <f t="shared" si="1"/>
        <v>39000</v>
      </c>
      <c r="F48" s="4" t="s">
        <v>51</v>
      </c>
      <c r="G48" s="20">
        <v>1424</v>
      </c>
      <c r="H48" s="19" t="s">
        <v>3</v>
      </c>
      <c r="I48" s="18">
        <v>45577</v>
      </c>
      <c r="J48" s="18"/>
      <c r="K48" s="109"/>
    </row>
    <row r="49" spans="1:11" ht="15.5" customHeight="1" x14ac:dyDescent="0.3">
      <c r="A49" s="20">
        <v>0</v>
      </c>
      <c r="B49" s="31" t="s">
        <v>137</v>
      </c>
      <c r="C49" s="31" t="s">
        <v>108</v>
      </c>
      <c r="D49" s="4">
        <v>0</v>
      </c>
      <c r="E49" s="34">
        <f t="shared" si="1"/>
        <v>0</v>
      </c>
      <c r="F49" s="4" t="s">
        <v>51</v>
      </c>
      <c r="G49" s="20">
        <v>1522</v>
      </c>
      <c r="H49" s="19" t="s">
        <v>3</v>
      </c>
      <c r="I49" s="18"/>
      <c r="J49" s="104">
        <v>45343</v>
      </c>
      <c r="K49" s="109"/>
    </row>
    <row r="50" spans="1:11" ht="15.5" customHeight="1" x14ac:dyDescent="0.3">
      <c r="A50" s="20">
        <v>0</v>
      </c>
      <c r="B50" s="31" t="s">
        <v>138</v>
      </c>
      <c r="C50" s="31" t="s">
        <v>112</v>
      </c>
      <c r="D50" s="4">
        <v>0</v>
      </c>
      <c r="E50" s="34">
        <f t="shared" si="1"/>
        <v>0</v>
      </c>
      <c r="F50" s="4" t="s">
        <v>51</v>
      </c>
      <c r="G50" s="20">
        <v>1523</v>
      </c>
      <c r="H50" s="19" t="s">
        <v>3</v>
      </c>
      <c r="I50" s="18"/>
      <c r="J50" s="19"/>
      <c r="K50" s="109" t="s">
        <v>147</v>
      </c>
    </row>
    <row r="51" spans="1:11" ht="15.5" customHeight="1" x14ac:dyDescent="0.3">
      <c r="A51" s="20">
        <v>1</v>
      </c>
      <c r="B51" s="31" t="s">
        <v>137</v>
      </c>
      <c r="C51" s="31" t="s">
        <v>108</v>
      </c>
      <c r="D51" s="4">
        <v>19</v>
      </c>
      <c r="E51" s="34">
        <f t="shared" si="1"/>
        <v>28500</v>
      </c>
      <c r="F51" s="4" t="s">
        <v>51</v>
      </c>
      <c r="G51" s="20">
        <v>1524</v>
      </c>
      <c r="H51" s="19" t="s">
        <v>3</v>
      </c>
      <c r="I51" s="18">
        <v>45589</v>
      </c>
      <c r="J51" s="19"/>
      <c r="K51" s="109"/>
    </row>
    <row r="52" spans="1:11" ht="15.5" customHeight="1" x14ac:dyDescent="0.3">
      <c r="A52" s="20">
        <v>1</v>
      </c>
      <c r="B52" s="31" t="s">
        <v>137</v>
      </c>
      <c r="C52" s="31" t="s">
        <v>108</v>
      </c>
      <c r="D52" s="4">
        <v>489</v>
      </c>
      <c r="E52" s="34">
        <f t="shared" si="1"/>
        <v>733500</v>
      </c>
      <c r="F52" s="19" t="s">
        <v>51</v>
      </c>
      <c r="G52" s="17">
        <v>1614</v>
      </c>
      <c r="H52" s="19" t="s">
        <v>3</v>
      </c>
      <c r="I52" s="18"/>
      <c r="J52" s="19"/>
      <c r="K52" s="109"/>
    </row>
    <row r="53" spans="1:11" ht="15.5" customHeight="1" x14ac:dyDescent="0.3">
      <c r="A53" s="20">
        <v>0</v>
      </c>
      <c r="B53" s="31" t="s">
        <v>137</v>
      </c>
      <c r="C53" s="31" t="s">
        <v>108</v>
      </c>
      <c r="D53" s="4">
        <v>0</v>
      </c>
      <c r="E53" s="34">
        <f t="shared" si="1"/>
        <v>0</v>
      </c>
      <c r="F53" s="19" t="s">
        <v>52</v>
      </c>
      <c r="G53" s="23">
        <v>1623</v>
      </c>
      <c r="H53" s="19" t="s">
        <v>8</v>
      </c>
      <c r="I53" s="18"/>
      <c r="J53" s="19"/>
      <c r="K53" s="109" t="s">
        <v>148</v>
      </c>
    </row>
    <row r="54" spans="1:11" ht="15.5" customHeight="1" x14ac:dyDescent="0.3">
      <c r="A54" s="20">
        <v>1</v>
      </c>
      <c r="B54" s="31" t="s">
        <v>137</v>
      </c>
      <c r="C54" s="31" t="s">
        <v>108</v>
      </c>
      <c r="D54" s="4">
        <v>426</v>
      </c>
      <c r="E54" s="34">
        <f t="shared" si="1"/>
        <v>639000</v>
      </c>
      <c r="F54" s="19" t="s">
        <v>51</v>
      </c>
      <c r="G54" s="17">
        <v>1913</v>
      </c>
      <c r="H54" s="19" t="s">
        <v>3</v>
      </c>
      <c r="I54" s="18"/>
      <c r="J54" s="19"/>
      <c r="K54" s="109"/>
    </row>
    <row r="55" spans="1:11" ht="15.5" customHeight="1" x14ac:dyDescent="0.3">
      <c r="A55" s="20">
        <v>1</v>
      </c>
      <c r="B55" s="31" t="s">
        <v>137</v>
      </c>
      <c r="C55" s="31" t="s">
        <v>108</v>
      </c>
      <c r="D55" s="4">
        <v>405</v>
      </c>
      <c r="E55" s="34">
        <f t="shared" si="1"/>
        <v>607500</v>
      </c>
      <c r="F55" s="19" t="s">
        <v>51</v>
      </c>
      <c r="G55" s="17">
        <v>1916</v>
      </c>
      <c r="H55" s="19" t="s">
        <v>3</v>
      </c>
      <c r="I55" s="18"/>
      <c r="J55" s="19"/>
      <c r="K55" s="109"/>
    </row>
    <row r="56" spans="1:11" ht="15.5" customHeight="1" x14ac:dyDescent="0.3">
      <c r="A56" s="20">
        <v>1</v>
      </c>
      <c r="B56" s="31" t="s">
        <v>137</v>
      </c>
      <c r="C56" s="31" t="s">
        <v>108</v>
      </c>
      <c r="D56" s="4">
        <v>442</v>
      </c>
      <c r="E56" s="34">
        <f t="shared" si="1"/>
        <v>663000</v>
      </c>
      <c r="F56" s="19" t="s">
        <v>51</v>
      </c>
      <c r="G56" s="17">
        <v>1917</v>
      </c>
      <c r="H56" s="19" t="s">
        <v>3</v>
      </c>
      <c r="I56" s="18"/>
      <c r="J56" s="19"/>
      <c r="K56" s="109"/>
    </row>
    <row r="57" spans="1:11" ht="15.5" customHeight="1" x14ac:dyDescent="0.3">
      <c r="A57" s="20">
        <v>1</v>
      </c>
      <c r="B57" s="31" t="s">
        <v>137</v>
      </c>
      <c r="C57" s="31" t="s">
        <v>108</v>
      </c>
      <c r="D57" s="4">
        <v>302</v>
      </c>
      <c r="E57" s="34">
        <f t="shared" si="1"/>
        <v>453000</v>
      </c>
      <c r="F57" s="19" t="s">
        <v>51</v>
      </c>
      <c r="G57" s="23">
        <v>1920</v>
      </c>
      <c r="H57" s="19" t="s">
        <v>3</v>
      </c>
      <c r="I57" s="18"/>
      <c r="J57" s="19"/>
      <c r="K57" s="109"/>
    </row>
    <row r="58" spans="1:11" ht="15.5" customHeight="1" x14ac:dyDescent="0.3">
      <c r="A58" s="20">
        <v>1</v>
      </c>
      <c r="B58" s="31" t="s">
        <v>137</v>
      </c>
      <c r="C58" s="31" t="s">
        <v>108</v>
      </c>
      <c r="D58" s="4">
        <v>428</v>
      </c>
      <c r="E58" s="34">
        <f t="shared" si="1"/>
        <v>642000</v>
      </c>
      <c r="F58" s="19" t="s">
        <v>51</v>
      </c>
      <c r="G58" s="17">
        <v>2016</v>
      </c>
      <c r="H58" s="19" t="s">
        <v>3</v>
      </c>
      <c r="I58" s="18"/>
      <c r="J58" s="19"/>
      <c r="K58" s="109"/>
    </row>
    <row r="59" spans="1:11" ht="15.5" customHeight="1" x14ac:dyDescent="0.3">
      <c r="A59" s="20">
        <v>0</v>
      </c>
      <c r="B59" s="31" t="s">
        <v>137</v>
      </c>
      <c r="C59" s="31" t="s">
        <v>108</v>
      </c>
      <c r="D59" s="4">
        <v>0</v>
      </c>
      <c r="E59" s="34">
        <f t="shared" si="1"/>
        <v>0</v>
      </c>
      <c r="F59" s="19" t="s">
        <v>51</v>
      </c>
      <c r="G59" s="23">
        <v>2018</v>
      </c>
      <c r="H59" s="19" t="s">
        <v>3</v>
      </c>
      <c r="I59" s="18"/>
      <c r="J59" s="19"/>
      <c r="K59" s="109" t="s">
        <v>148</v>
      </c>
    </row>
    <row r="60" spans="1:11" ht="15.5" customHeight="1" x14ac:dyDescent="0.3">
      <c r="A60" s="20">
        <v>1</v>
      </c>
      <c r="B60" s="31" t="s">
        <v>138</v>
      </c>
      <c r="C60" s="31" t="s">
        <v>109</v>
      </c>
      <c r="D60" s="4">
        <v>368</v>
      </c>
      <c r="E60" s="34">
        <f t="shared" si="1"/>
        <v>552000</v>
      </c>
      <c r="F60" s="19" t="s">
        <v>51</v>
      </c>
      <c r="G60" s="23">
        <v>3952</v>
      </c>
      <c r="H60" s="19" t="s">
        <v>142</v>
      </c>
      <c r="I60" s="18"/>
      <c r="J60" s="19"/>
      <c r="K60" s="109"/>
    </row>
    <row r="61" spans="1:11" ht="15.5" customHeight="1" x14ac:dyDescent="0.3">
      <c r="A61" s="20">
        <v>1</v>
      </c>
      <c r="B61" s="31" t="s">
        <v>138</v>
      </c>
      <c r="C61" s="31" t="s">
        <v>109</v>
      </c>
      <c r="D61" s="4">
        <v>364</v>
      </c>
      <c r="E61" s="34">
        <f t="shared" si="1"/>
        <v>546000</v>
      </c>
      <c r="F61" s="4" t="s">
        <v>51</v>
      </c>
      <c r="G61" s="20">
        <v>3956</v>
      </c>
      <c r="H61" s="19" t="s">
        <v>142</v>
      </c>
      <c r="I61" s="18"/>
      <c r="J61" s="19"/>
      <c r="K61" s="109"/>
    </row>
    <row r="62" spans="1:11" ht="15.5" customHeight="1" x14ac:dyDescent="0.3">
      <c r="A62" s="20">
        <v>1</v>
      </c>
      <c r="B62" s="31" t="s">
        <v>138</v>
      </c>
      <c r="C62" s="31" t="s">
        <v>109</v>
      </c>
      <c r="D62" s="4">
        <v>440</v>
      </c>
      <c r="E62" s="34">
        <f t="shared" si="1"/>
        <v>660000</v>
      </c>
      <c r="F62" s="19" t="s">
        <v>51</v>
      </c>
      <c r="G62" s="23">
        <v>3958</v>
      </c>
      <c r="H62" s="19" t="s">
        <v>142</v>
      </c>
      <c r="I62" s="18"/>
      <c r="J62" s="19"/>
      <c r="K62" s="109"/>
    </row>
    <row r="63" spans="1:11" ht="24" customHeight="1" x14ac:dyDescent="0.3">
      <c r="K63" s="111"/>
    </row>
    <row r="64" spans="1:11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71" ht="30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</sheetData>
  <sortState xmlns:xlrd2="http://schemas.microsoft.com/office/spreadsheetml/2017/richdata2" ref="A4:K62">
    <sortCondition ref="G4:G62"/>
  </sortState>
  <pageMargins left="0.23622047244094491" right="0.23622047244094491" top="0.94618110236220476" bottom="0.74803149606299213" header="0.31496062992125984" footer="0.31496062992125984"/>
  <pageSetup scale="9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13EC-B2A4-442A-B6F2-CF205E187E17}">
  <dimension ref="A1:P68"/>
  <sheetViews>
    <sheetView workbookViewId="0">
      <selection activeCell="O13" sqref="O13"/>
    </sheetView>
  </sheetViews>
  <sheetFormatPr baseColWidth="10" defaultColWidth="18.5" defaultRowHeight="18" customHeight="1" x14ac:dyDescent="0.3"/>
  <cols>
    <col min="1" max="1" width="8.796875" style="3" customWidth="1"/>
    <col min="2" max="3" width="11.19921875" style="3" customWidth="1"/>
    <col min="4" max="5" width="9.296875" style="3" customWidth="1"/>
    <col min="6" max="10" width="11.296875" style="3" customWidth="1"/>
    <col min="11" max="11" width="11.796875" style="3" customWidth="1"/>
    <col min="12" max="13" width="14.8984375" style="3" customWidth="1"/>
    <col min="14" max="16384" width="18.5" style="3"/>
  </cols>
  <sheetData>
    <row r="1" spans="1:16" ht="25.5" customHeight="1" thickBot="1" x14ac:dyDescent="0.35">
      <c r="A1" s="10" t="s">
        <v>153</v>
      </c>
      <c r="B1" s="10"/>
      <c r="C1" s="10"/>
      <c r="D1" s="10"/>
      <c r="G1" s="39"/>
      <c r="H1" s="39" t="s">
        <v>154</v>
      </c>
      <c r="K1" s="11"/>
      <c r="L1" s="11">
        <v>45586</v>
      </c>
      <c r="M1" s="11"/>
    </row>
    <row r="2" spans="1:16" ht="18" customHeight="1" thickBot="1" x14ac:dyDescent="0.35">
      <c r="A2" s="40" t="s">
        <v>155</v>
      </c>
      <c r="B2" s="41"/>
      <c r="C2" s="41"/>
      <c r="D2" s="120">
        <f>SUM(F4:K4)</f>
        <v>44</v>
      </c>
      <c r="E2" s="121"/>
      <c r="F2" s="42"/>
      <c r="G2" s="122" t="s">
        <v>156</v>
      </c>
      <c r="H2" s="123"/>
      <c r="I2" s="123"/>
      <c r="J2" s="123"/>
      <c r="K2" s="123"/>
      <c r="L2" s="123"/>
    </row>
    <row r="3" spans="1:16" s="15" customFormat="1" ht="25.5" customHeight="1" thickBot="1" x14ac:dyDescent="0.35">
      <c r="A3" s="43" t="s">
        <v>60</v>
      </c>
      <c r="B3" s="44" t="s">
        <v>157</v>
      </c>
      <c r="C3" s="44" t="s">
        <v>158</v>
      </c>
      <c r="D3" s="124" t="s">
        <v>0</v>
      </c>
      <c r="E3" s="125"/>
      <c r="F3" s="45" t="s">
        <v>159</v>
      </c>
      <c r="G3" s="45" t="s">
        <v>160</v>
      </c>
      <c r="H3" s="46" t="s">
        <v>161</v>
      </c>
      <c r="I3" s="45" t="s">
        <v>162</v>
      </c>
      <c r="J3" s="45" t="s">
        <v>150</v>
      </c>
      <c r="K3" s="45" t="s">
        <v>163</v>
      </c>
      <c r="L3" s="126" t="s">
        <v>107</v>
      </c>
      <c r="M3" s="47" t="s">
        <v>164</v>
      </c>
    </row>
    <row r="4" spans="1:16" s="15" customFormat="1" ht="15.75" customHeight="1" thickBot="1" x14ac:dyDescent="0.35">
      <c r="A4" s="117" t="s">
        <v>165</v>
      </c>
      <c r="B4" s="118"/>
      <c r="C4" s="48" t="s">
        <v>166</v>
      </c>
      <c r="D4" s="49">
        <f t="shared" ref="D4:K4" si="0">COUNTA(D5:D48)</f>
        <v>3</v>
      </c>
      <c r="E4" s="49">
        <f t="shared" si="0"/>
        <v>41</v>
      </c>
      <c r="F4" s="88">
        <f t="shared" si="0"/>
        <v>3</v>
      </c>
      <c r="G4" s="88">
        <f t="shared" si="0"/>
        <v>14</v>
      </c>
      <c r="H4" s="88">
        <f t="shared" si="0"/>
        <v>5</v>
      </c>
      <c r="I4" s="88">
        <f t="shared" si="0"/>
        <v>5</v>
      </c>
      <c r="J4" s="88">
        <f t="shared" si="0"/>
        <v>16</v>
      </c>
      <c r="K4" s="88">
        <f t="shared" si="0"/>
        <v>1</v>
      </c>
      <c r="L4" s="127"/>
      <c r="M4" s="50" t="s">
        <v>167</v>
      </c>
      <c r="P4" s="51"/>
    </row>
    <row r="5" spans="1:16" s="15" customFormat="1" ht="15.75" customHeight="1" x14ac:dyDescent="0.3">
      <c r="A5" s="52">
        <v>100</v>
      </c>
      <c r="B5" s="53">
        <v>45521</v>
      </c>
      <c r="C5" s="85">
        <v>70</v>
      </c>
      <c r="D5" s="54"/>
      <c r="E5" s="54" t="s">
        <v>51</v>
      </c>
      <c r="F5" s="89"/>
      <c r="G5" s="55" t="s">
        <v>168</v>
      </c>
      <c r="H5" s="89"/>
      <c r="I5" s="89"/>
      <c r="J5" s="55"/>
      <c r="K5" s="55"/>
      <c r="L5" s="56" t="s">
        <v>134</v>
      </c>
      <c r="M5" s="57">
        <f t="shared" ref="M5:M48" si="1">+C5*1500</f>
        <v>105000</v>
      </c>
      <c r="P5" s="51"/>
    </row>
    <row r="6" spans="1:16" s="15" customFormat="1" ht="15.75" customHeight="1" x14ac:dyDescent="0.3">
      <c r="A6" s="23">
        <v>118</v>
      </c>
      <c r="B6" s="53">
        <v>43111</v>
      </c>
      <c r="C6" s="23">
        <v>453</v>
      </c>
      <c r="D6" s="17"/>
      <c r="E6" s="19" t="s">
        <v>51</v>
      </c>
      <c r="F6" s="63"/>
      <c r="G6" s="58"/>
      <c r="H6" s="63"/>
      <c r="I6" s="63"/>
      <c r="J6" s="58" t="s">
        <v>168</v>
      </c>
      <c r="K6" s="58"/>
      <c r="L6" s="31" t="s">
        <v>108</v>
      </c>
      <c r="M6" s="59">
        <f t="shared" si="1"/>
        <v>679500</v>
      </c>
      <c r="P6" s="51"/>
    </row>
    <row r="7" spans="1:16" s="16" customFormat="1" ht="13.5" customHeight="1" x14ac:dyDescent="0.3">
      <c r="A7" s="19">
        <v>124</v>
      </c>
      <c r="B7" s="60">
        <v>45315</v>
      </c>
      <c r="C7" s="86">
        <v>134</v>
      </c>
      <c r="D7" s="61"/>
      <c r="E7" s="26" t="s">
        <v>51</v>
      </c>
      <c r="F7" s="63"/>
      <c r="G7" s="62" t="s">
        <v>168</v>
      </c>
      <c r="H7" s="63"/>
      <c r="I7" s="63"/>
      <c r="J7" s="62"/>
      <c r="K7" s="62"/>
      <c r="L7" s="31" t="s">
        <v>110</v>
      </c>
      <c r="M7" s="59">
        <f t="shared" si="1"/>
        <v>201000</v>
      </c>
    </row>
    <row r="8" spans="1:16" s="16" customFormat="1" ht="13.5" customHeight="1" x14ac:dyDescent="0.3">
      <c r="A8" s="23">
        <v>215</v>
      </c>
      <c r="B8" s="53">
        <v>42059</v>
      </c>
      <c r="C8" s="67">
        <v>461</v>
      </c>
      <c r="D8" s="17"/>
      <c r="E8" s="19" t="s">
        <v>51</v>
      </c>
      <c r="F8" s="63"/>
      <c r="G8" s="58"/>
      <c r="H8" s="63"/>
      <c r="I8" s="63"/>
      <c r="J8" s="58" t="s">
        <v>168</v>
      </c>
      <c r="K8" s="58"/>
      <c r="L8" s="31" t="s">
        <v>108</v>
      </c>
      <c r="M8" s="59">
        <f t="shared" si="1"/>
        <v>691500</v>
      </c>
    </row>
    <row r="9" spans="1:16" s="16" customFormat="1" ht="13.5" customHeight="1" x14ac:dyDescent="0.3">
      <c r="A9" s="23">
        <v>321</v>
      </c>
      <c r="B9" s="53">
        <v>44384</v>
      </c>
      <c r="C9" s="67">
        <v>369</v>
      </c>
      <c r="D9" s="17"/>
      <c r="E9" s="19" t="s">
        <v>51</v>
      </c>
      <c r="F9" s="63"/>
      <c r="G9" s="58"/>
      <c r="H9" s="63"/>
      <c r="I9" s="63"/>
      <c r="J9" s="58" t="s">
        <v>168</v>
      </c>
      <c r="K9" s="58"/>
      <c r="L9" s="31" t="s">
        <v>108</v>
      </c>
      <c r="M9" s="59">
        <f t="shared" si="1"/>
        <v>553500</v>
      </c>
    </row>
    <row r="10" spans="1:16" s="16" customFormat="1" ht="13.5" customHeight="1" x14ac:dyDescent="0.3">
      <c r="A10" s="23">
        <v>423</v>
      </c>
      <c r="B10" s="53">
        <v>45076</v>
      </c>
      <c r="C10" s="67">
        <v>276</v>
      </c>
      <c r="D10" s="17"/>
      <c r="E10" s="19" t="s">
        <v>51</v>
      </c>
      <c r="F10" s="63"/>
      <c r="G10" s="58" t="s">
        <v>168</v>
      </c>
      <c r="H10" s="63"/>
      <c r="I10" s="63"/>
      <c r="J10" s="58"/>
      <c r="K10" s="58"/>
      <c r="L10" s="31" t="s">
        <v>110</v>
      </c>
      <c r="M10" s="59">
        <f t="shared" si="1"/>
        <v>414000</v>
      </c>
    </row>
    <row r="11" spans="1:16" s="16" customFormat="1" ht="13.5" customHeight="1" x14ac:dyDescent="0.3">
      <c r="A11" s="23">
        <v>424</v>
      </c>
      <c r="B11" s="53">
        <v>45381</v>
      </c>
      <c r="C11" s="67">
        <v>122.5</v>
      </c>
      <c r="D11" s="17"/>
      <c r="E11" s="19" t="s">
        <v>51</v>
      </c>
      <c r="F11" s="63"/>
      <c r="G11" s="58" t="s">
        <v>168</v>
      </c>
      <c r="H11" s="63"/>
      <c r="I11" s="63"/>
      <c r="J11" s="58"/>
      <c r="K11" s="58"/>
      <c r="L11" s="31" t="s">
        <v>108</v>
      </c>
      <c r="M11" s="59">
        <f t="shared" si="1"/>
        <v>183750</v>
      </c>
    </row>
    <row r="12" spans="1:16" s="16" customFormat="1" ht="13.5" customHeight="1" x14ac:dyDescent="0.3">
      <c r="A12" s="20">
        <v>523</v>
      </c>
      <c r="B12" s="53">
        <v>45118</v>
      </c>
      <c r="C12" s="67">
        <v>214</v>
      </c>
      <c r="D12" s="4"/>
      <c r="E12" s="4" t="s">
        <v>51</v>
      </c>
      <c r="F12" s="63"/>
      <c r="G12" s="58" t="s">
        <v>168</v>
      </c>
      <c r="H12" s="63"/>
      <c r="I12" s="63"/>
      <c r="J12" s="58"/>
      <c r="K12" s="33"/>
      <c r="L12" s="31" t="s">
        <v>108</v>
      </c>
      <c r="M12" s="59">
        <f t="shared" si="1"/>
        <v>321000</v>
      </c>
    </row>
    <row r="13" spans="1:16" s="16" customFormat="1" ht="13.5" customHeight="1" x14ac:dyDescent="0.3">
      <c r="A13" s="20">
        <v>524</v>
      </c>
      <c r="B13" s="53">
        <v>45394</v>
      </c>
      <c r="C13" s="67">
        <v>85.5</v>
      </c>
      <c r="D13" s="4" t="s">
        <v>52</v>
      </c>
      <c r="E13" s="4"/>
      <c r="F13" s="63" t="s">
        <v>168</v>
      </c>
      <c r="G13" s="58"/>
      <c r="H13" s="63"/>
      <c r="I13" s="63"/>
      <c r="J13" s="58"/>
      <c r="K13" s="33"/>
      <c r="L13" s="31" t="s">
        <v>108</v>
      </c>
      <c r="M13" s="59">
        <f t="shared" si="1"/>
        <v>128250</v>
      </c>
    </row>
    <row r="14" spans="1:16" s="16" customFormat="1" ht="13.5" customHeight="1" x14ac:dyDescent="0.3">
      <c r="A14" s="23">
        <v>615</v>
      </c>
      <c r="B14" s="53">
        <v>42144</v>
      </c>
      <c r="C14" s="67">
        <v>480</v>
      </c>
      <c r="D14" s="17"/>
      <c r="E14" s="19" t="s">
        <v>51</v>
      </c>
      <c r="F14" s="63"/>
      <c r="G14" s="58"/>
      <c r="H14" s="63"/>
      <c r="I14" s="63"/>
      <c r="J14" s="58" t="s">
        <v>168</v>
      </c>
      <c r="K14" s="58"/>
      <c r="L14" s="31" t="s">
        <v>108</v>
      </c>
      <c r="M14" s="59">
        <f t="shared" si="1"/>
        <v>720000</v>
      </c>
    </row>
    <row r="15" spans="1:16" s="16" customFormat="1" ht="13.5" customHeight="1" x14ac:dyDescent="0.3">
      <c r="A15" s="23">
        <v>617</v>
      </c>
      <c r="B15" s="53">
        <v>42791</v>
      </c>
      <c r="C15" s="67">
        <v>349</v>
      </c>
      <c r="D15" s="17"/>
      <c r="E15" s="19" t="s">
        <v>51</v>
      </c>
      <c r="F15" s="63"/>
      <c r="G15" s="58"/>
      <c r="H15" s="63"/>
      <c r="I15" s="63"/>
      <c r="J15" s="58" t="s">
        <v>168</v>
      </c>
      <c r="K15" s="58"/>
      <c r="L15" s="31" t="s">
        <v>108</v>
      </c>
      <c r="M15" s="59">
        <f t="shared" si="1"/>
        <v>523500</v>
      </c>
    </row>
    <row r="16" spans="1:16" s="16" customFormat="1" ht="13.5" customHeight="1" x14ac:dyDescent="0.3">
      <c r="A16" s="23">
        <v>715</v>
      </c>
      <c r="B16" s="53">
        <v>42171</v>
      </c>
      <c r="C16" s="67">
        <v>350</v>
      </c>
      <c r="D16" s="17"/>
      <c r="E16" s="19" t="s">
        <v>51</v>
      </c>
      <c r="F16" s="63"/>
      <c r="G16" s="58"/>
      <c r="H16" s="63"/>
      <c r="I16" s="63"/>
      <c r="J16" s="58" t="s">
        <v>168</v>
      </c>
      <c r="K16" s="58"/>
      <c r="L16" s="31" t="s">
        <v>108</v>
      </c>
      <c r="M16" s="59">
        <f t="shared" si="1"/>
        <v>525000</v>
      </c>
    </row>
    <row r="17" spans="1:16" s="16" customFormat="1" ht="13.5" customHeight="1" x14ac:dyDescent="0.3">
      <c r="A17" s="23">
        <v>720</v>
      </c>
      <c r="B17" s="53">
        <v>43925</v>
      </c>
      <c r="C17" s="67">
        <v>344</v>
      </c>
      <c r="D17" s="17"/>
      <c r="E17" s="19" t="s">
        <v>51</v>
      </c>
      <c r="F17" s="63"/>
      <c r="G17" s="58"/>
      <c r="H17" s="63"/>
      <c r="I17" s="63"/>
      <c r="J17" s="58" t="s">
        <v>168</v>
      </c>
      <c r="K17" s="58"/>
      <c r="L17" s="31" t="s">
        <v>108</v>
      </c>
      <c r="M17" s="59">
        <f t="shared" si="1"/>
        <v>516000</v>
      </c>
    </row>
    <row r="18" spans="1:16" s="16" customFormat="1" ht="13.5" customHeight="1" x14ac:dyDescent="0.3">
      <c r="A18" s="20">
        <v>723</v>
      </c>
      <c r="B18" s="53">
        <v>45154</v>
      </c>
      <c r="C18" s="67">
        <v>321</v>
      </c>
      <c r="D18" s="4" t="s">
        <v>52</v>
      </c>
      <c r="E18" s="4"/>
      <c r="F18" s="63" t="s">
        <v>168</v>
      </c>
      <c r="G18" s="58"/>
      <c r="H18" s="63"/>
      <c r="I18" s="63"/>
      <c r="J18" s="58"/>
      <c r="K18" s="33"/>
      <c r="L18" s="31" t="s">
        <v>110</v>
      </c>
      <c r="M18" s="59">
        <f t="shared" si="1"/>
        <v>481500</v>
      </c>
      <c r="N18" s="16" t="s">
        <v>169</v>
      </c>
    </row>
    <row r="19" spans="1:16" s="16" customFormat="1" ht="13.5" customHeight="1" x14ac:dyDescent="0.3">
      <c r="A19" s="23">
        <v>815</v>
      </c>
      <c r="B19" s="53">
        <v>42173</v>
      </c>
      <c r="C19" s="67">
        <v>368</v>
      </c>
      <c r="D19" s="17"/>
      <c r="E19" s="19" t="s">
        <v>51</v>
      </c>
      <c r="F19" s="63"/>
      <c r="G19" s="58"/>
      <c r="H19" s="63"/>
      <c r="I19" s="63"/>
      <c r="J19" s="58" t="s">
        <v>168</v>
      </c>
      <c r="K19" s="58"/>
      <c r="L19" s="31" t="s">
        <v>108</v>
      </c>
      <c r="M19" s="59">
        <f t="shared" si="1"/>
        <v>552000</v>
      </c>
    </row>
    <row r="20" spans="1:16" s="16" customFormat="1" ht="13.5" customHeight="1" x14ac:dyDescent="0.3">
      <c r="A20" s="20">
        <v>824</v>
      </c>
      <c r="B20" s="53">
        <v>45430</v>
      </c>
      <c r="C20" s="67">
        <v>55</v>
      </c>
      <c r="D20" s="4"/>
      <c r="E20" s="4" t="s">
        <v>51</v>
      </c>
      <c r="F20" s="63"/>
      <c r="G20" s="58" t="s">
        <v>168</v>
      </c>
      <c r="H20" s="63"/>
      <c r="I20" s="90"/>
      <c r="J20" s="58"/>
      <c r="K20" s="33"/>
      <c r="L20" s="31" t="s">
        <v>108</v>
      </c>
      <c r="M20" s="59">
        <f t="shared" si="1"/>
        <v>82500</v>
      </c>
    </row>
    <row r="21" spans="1:16" s="16" customFormat="1" ht="13.5" customHeight="1" x14ac:dyDescent="0.3">
      <c r="A21" s="23">
        <v>921</v>
      </c>
      <c r="B21" s="53">
        <v>44529</v>
      </c>
      <c r="C21" s="67">
        <v>345</v>
      </c>
      <c r="D21" s="4"/>
      <c r="E21" s="4" t="s">
        <v>51</v>
      </c>
      <c r="F21" s="63"/>
      <c r="G21" s="58"/>
      <c r="H21" s="63" t="s">
        <v>168</v>
      </c>
      <c r="I21" s="63"/>
      <c r="J21" s="58"/>
      <c r="K21" s="58"/>
      <c r="L21" s="31" t="s">
        <v>108</v>
      </c>
      <c r="M21" s="59">
        <f t="shared" si="1"/>
        <v>517500</v>
      </c>
    </row>
    <row r="22" spans="1:16" s="16" customFormat="1" ht="13.5" customHeight="1" x14ac:dyDescent="0.3">
      <c r="A22" s="23">
        <v>922</v>
      </c>
      <c r="B22" s="53">
        <v>44764</v>
      </c>
      <c r="C22" s="67">
        <v>407</v>
      </c>
      <c r="D22" s="17"/>
      <c r="E22" s="4" t="s">
        <v>51</v>
      </c>
      <c r="F22" s="63"/>
      <c r="G22" s="58"/>
      <c r="H22" s="63" t="s">
        <v>168</v>
      </c>
      <c r="I22" s="63"/>
      <c r="J22" s="58"/>
      <c r="K22" s="33"/>
      <c r="L22" s="31" t="s">
        <v>111</v>
      </c>
      <c r="M22" s="59">
        <f t="shared" si="1"/>
        <v>610500</v>
      </c>
      <c r="N22" s="3"/>
      <c r="O22" s="3"/>
      <c r="P22" s="3"/>
    </row>
    <row r="23" spans="1:16" s="16" customFormat="1" ht="13.5" customHeight="1" x14ac:dyDescent="0.3">
      <c r="A23" s="20">
        <v>923</v>
      </c>
      <c r="B23" s="53">
        <v>45186</v>
      </c>
      <c r="C23" s="67">
        <v>218</v>
      </c>
      <c r="D23" s="4"/>
      <c r="E23" s="4" t="s">
        <v>51</v>
      </c>
      <c r="F23" s="63"/>
      <c r="G23" s="58" t="s">
        <v>168</v>
      </c>
      <c r="H23" s="63"/>
      <c r="I23" s="63"/>
      <c r="J23" s="58"/>
      <c r="K23" s="33"/>
      <c r="L23" s="31" t="s">
        <v>110</v>
      </c>
      <c r="M23" s="59">
        <f t="shared" si="1"/>
        <v>327000</v>
      </c>
    </row>
    <row r="24" spans="1:16" s="16" customFormat="1" ht="13.5" customHeight="1" x14ac:dyDescent="0.3">
      <c r="A24" s="20">
        <v>924</v>
      </c>
      <c r="B24" s="30">
        <v>45436</v>
      </c>
      <c r="C24" s="67">
        <v>95</v>
      </c>
      <c r="D24" s="4" t="s">
        <v>52</v>
      </c>
      <c r="E24" s="4"/>
      <c r="F24" s="63" t="s">
        <v>168</v>
      </c>
      <c r="G24" s="58"/>
      <c r="H24" s="63"/>
      <c r="I24" s="63"/>
      <c r="J24" s="58"/>
      <c r="K24" s="33"/>
      <c r="L24" s="31" t="s">
        <v>111</v>
      </c>
      <c r="M24" s="59">
        <f t="shared" si="1"/>
        <v>142500</v>
      </c>
    </row>
    <row r="25" spans="1:16" s="16" customFormat="1" ht="13.5" customHeight="1" x14ac:dyDescent="0.3">
      <c r="A25" s="23">
        <v>1015</v>
      </c>
      <c r="B25" s="53">
        <v>42250</v>
      </c>
      <c r="C25" s="67">
        <v>387</v>
      </c>
      <c r="D25" s="17"/>
      <c r="E25" s="19" t="s">
        <v>51</v>
      </c>
      <c r="F25" s="63"/>
      <c r="G25" s="58"/>
      <c r="H25" s="63"/>
      <c r="I25" s="63"/>
      <c r="J25" s="58" t="s">
        <v>168</v>
      </c>
      <c r="K25" s="58"/>
      <c r="L25" s="31" t="s">
        <v>108</v>
      </c>
      <c r="M25" s="59">
        <f t="shared" si="1"/>
        <v>580500</v>
      </c>
      <c r="N25" s="3"/>
      <c r="O25" s="3"/>
      <c r="P25" s="3"/>
    </row>
    <row r="26" spans="1:16" s="16" customFormat="1" ht="13.5" customHeight="1" x14ac:dyDescent="0.3">
      <c r="A26" s="23">
        <v>1023</v>
      </c>
      <c r="B26" s="53">
        <v>45195</v>
      </c>
      <c r="C26" s="67">
        <v>176</v>
      </c>
      <c r="D26" s="64"/>
      <c r="E26" s="65" t="s">
        <v>51</v>
      </c>
      <c r="F26" s="63"/>
      <c r="G26" s="58" t="s">
        <v>168</v>
      </c>
      <c r="H26" s="63"/>
      <c r="I26" s="63"/>
      <c r="J26" s="58"/>
      <c r="K26" s="58"/>
      <c r="L26" s="31" t="s">
        <v>108</v>
      </c>
      <c r="M26" s="59">
        <f t="shared" si="1"/>
        <v>264000</v>
      </c>
      <c r="N26" s="3"/>
      <c r="O26" s="3"/>
      <c r="P26" s="3"/>
    </row>
    <row r="27" spans="1:16" s="16" customFormat="1" ht="13.5" customHeight="1" x14ac:dyDescent="0.3">
      <c r="A27" s="23">
        <v>1121</v>
      </c>
      <c r="B27" s="53">
        <v>44903</v>
      </c>
      <c r="C27" s="67">
        <v>379</v>
      </c>
      <c r="D27" s="66"/>
      <c r="E27" s="66" t="s">
        <v>51</v>
      </c>
      <c r="F27" s="63"/>
      <c r="G27" s="58"/>
      <c r="H27" s="63"/>
      <c r="I27" s="63"/>
      <c r="J27" s="58" t="s">
        <v>168</v>
      </c>
      <c r="K27" s="33"/>
      <c r="L27" s="31" t="s">
        <v>108</v>
      </c>
      <c r="M27" s="59">
        <f t="shared" si="1"/>
        <v>568500</v>
      </c>
      <c r="N27" s="3"/>
      <c r="O27" s="3"/>
      <c r="P27" s="3"/>
    </row>
    <row r="28" spans="1:16" ht="13.5" customHeight="1" x14ac:dyDescent="0.3">
      <c r="A28" s="23">
        <v>1123</v>
      </c>
      <c r="B28" s="53">
        <v>45201</v>
      </c>
      <c r="C28" s="67">
        <v>206</v>
      </c>
      <c r="D28" s="4"/>
      <c r="E28" s="4" t="s">
        <v>51</v>
      </c>
      <c r="F28" s="63"/>
      <c r="G28" s="58" t="s">
        <v>168</v>
      </c>
      <c r="H28" s="63"/>
      <c r="I28" s="63"/>
      <c r="J28" s="58"/>
      <c r="K28" s="33"/>
      <c r="L28" s="31" t="s">
        <v>110</v>
      </c>
      <c r="M28" s="59">
        <f t="shared" si="1"/>
        <v>309000</v>
      </c>
    </row>
    <row r="29" spans="1:16" ht="13.5" customHeight="1" x14ac:dyDescent="0.3">
      <c r="A29" s="23">
        <v>1220</v>
      </c>
      <c r="B29" s="53">
        <v>43986</v>
      </c>
      <c r="C29" s="67">
        <v>352</v>
      </c>
      <c r="D29" s="17"/>
      <c r="E29" s="19" t="s">
        <v>51</v>
      </c>
      <c r="F29" s="63"/>
      <c r="G29" s="58"/>
      <c r="H29" s="63"/>
      <c r="I29" s="63"/>
      <c r="J29" s="58" t="s">
        <v>168</v>
      </c>
      <c r="K29" s="58"/>
      <c r="L29" s="31" t="s">
        <v>108</v>
      </c>
      <c r="M29" s="59">
        <f t="shared" si="1"/>
        <v>528000</v>
      </c>
      <c r="N29" s="16"/>
      <c r="O29" s="16"/>
      <c r="P29" s="16"/>
    </row>
    <row r="30" spans="1:16" ht="13.5" customHeight="1" x14ac:dyDescent="0.3">
      <c r="A30" s="23">
        <v>1223</v>
      </c>
      <c r="B30" s="53">
        <v>45208</v>
      </c>
      <c r="C30" s="67">
        <v>160</v>
      </c>
      <c r="D30" s="17"/>
      <c r="E30" s="19" t="s">
        <v>51</v>
      </c>
      <c r="F30" s="63"/>
      <c r="G30" s="58" t="s">
        <v>168</v>
      </c>
      <c r="H30" s="63"/>
      <c r="I30" s="63"/>
      <c r="J30" s="58"/>
      <c r="K30" s="58"/>
      <c r="L30" s="31" t="s">
        <v>108</v>
      </c>
      <c r="M30" s="59">
        <f t="shared" si="1"/>
        <v>240000</v>
      </c>
      <c r="N30" s="16"/>
      <c r="O30" s="16"/>
      <c r="P30" s="16"/>
    </row>
    <row r="31" spans="1:16" ht="13.5" customHeight="1" x14ac:dyDescent="0.3">
      <c r="A31" s="23">
        <v>1224</v>
      </c>
      <c r="B31" s="30">
        <v>45520</v>
      </c>
      <c r="C31" s="67">
        <v>31</v>
      </c>
      <c r="D31" s="17"/>
      <c r="E31" s="19" t="s">
        <v>51</v>
      </c>
      <c r="F31" s="63"/>
      <c r="G31" s="58" t="s">
        <v>168</v>
      </c>
      <c r="H31" s="63"/>
      <c r="I31" s="63"/>
      <c r="J31" s="58"/>
      <c r="K31" s="58"/>
      <c r="L31" s="31" t="s">
        <v>108</v>
      </c>
      <c r="M31" s="59">
        <f t="shared" si="1"/>
        <v>46500</v>
      </c>
      <c r="N31" s="16"/>
      <c r="O31" s="16"/>
      <c r="P31" s="16"/>
    </row>
    <row r="32" spans="1:16" s="29" customFormat="1" ht="13.5" customHeight="1" x14ac:dyDescent="0.3">
      <c r="A32" s="68">
        <v>1319</v>
      </c>
      <c r="B32" s="69">
        <v>43672</v>
      </c>
      <c r="C32" s="87">
        <v>412</v>
      </c>
      <c r="D32" s="32"/>
      <c r="E32" s="19" t="s">
        <v>51</v>
      </c>
      <c r="F32" s="63"/>
      <c r="G32" s="58"/>
      <c r="H32" s="63"/>
      <c r="I32" s="63"/>
      <c r="J32" s="58" t="s">
        <v>168</v>
      </c>
      <c r="K32" s="58"/>
      <c r="L32" s="31" t="s">
        <v>108</v>
      </c>
      <c r="M32" s="59">
        <f t="shared" si="1"/>
        <v>618000</v>
      </c>
    </row>
    <row r="33" spans="1:16" ht="13.5" customHeight="1" x14ac:dyDescent="0.3">
      <c r="A33" s="23">
        <v>1321</v>
      </c>
      <c r="B33" s="53">
        <v>44557</v>
      </c>
      <c r="C33" s="67">
        <v>336</v>
      </c>
      <c r="D33" s="17"/>
      <c r="E33" s="19" t="s">
        <v>51</v>
      </c>
      <c r="F33" s="63"/>
      <c r="G33" s="58"/>
      <c r="H33" s="63"/>
      <c r="I33" s="63"/>
      <c r="J33" s="58"/>
      <c r="K33" s="58" t="s">
        <v>168</v>
      </c>
      <c r="L33" s="31" t="s">
        <v>108</v>
      </c>
      <c r="M33" s="59">
        <f t="shared" si="1"/>
        <v>504000</v>
      </c>
    </row>
    <row r="34" spans="1:16" ht="13.5" customHeight="1" x14ac:dyDescent="0.3">
      <c r="A34" s="23">
        <v>1324</v>
      </c>
      <c r="B34" s="53">
        <v>45567</v>
      </c>
      <c r="C34" s="67">
        <v>26.5</v>
      </c>
      <c r="D34" s="17"/>
      <c r="E34" s="19" t="s">
        <v>51</v>
      </c>
      <c r="F34" s="63"/>
      <c r="G34" s="58" t="s">
        <v>168</v>
      </c>
      <c r="H34" s="63"/>
      <c r="I34" s="63"/>
      <c r="J34" s="58"/>
      <c r="K34" s="58"/>
      <c r="L34" s="31" t="s">
        <v>108</v>
      </c>
      <c r="M34" s="59">
        <f t="shared" si="1"/>
        <v>39750</v>
      </c>
    </row>
    <row r="35" spans="1:16" ht="13.5" customHeight="1" x14ac:dyDescent="0.3">
      <c r="A35" s="23">
        <v>1416</v>
      </c>
      <c r="B35" s="53">
        <v>42593</v>
      </c>
      <c r="C35" s="67">
        <v>448</v>
      </c>
      <c r="D35" s="17"/>
      <c r="E35" s="19" t="s">
        <v>51</v>
      </c>
      <c r="F35" s="63"/>
      <c r="G35" s="58"/>
      <c r="H35" s="63"/>
      <c r="I35" s="63" t="s">
        <v>168</v>
      </c>
      <c r="J35" s="58"/>
      <c r="K35" s="58"/>
      <c r="L35" s="31" t="s">
        <v>108</v>
      </c>
      <c r="M35" s="59">
        <f t="shared" si="1"/>
        <v>672000</v>
      </c>
      <c r="N35" s="16"/>
      <c r="O35" s="16"/>
      <c r="P35" s="16"/>
    </row>
    <row r="36" spans="1:16" ht="13.5" customHeight="1" x14ac:dyDescent="0.3">
      <c r="A36" s="23">
        <v>1417</v>
      </c>
      <c r="B36" s="53">
        <v>42904</v>
      </c>
      <c r="C36" s="67">
        <v>390</v>
      </c>
      <c r="D36" s="17"/>
      <c r="E36" s="19" t="s">
        <v>51</v>
      </c>
      <c r="F36" s="63"/>
      <c r="G36" s="58"/>
      <c r="H36" s="63"/>
      <c r="I36" s="63"/>
      <c r="J36" s="58" t="s">
        <v>168</v>
      </c>
      <c r="K36" s="58"/>
      <c r="L36" s="31" t="s">
        <v>108</v>
      </c>
      <c r="M36" s="59">
        <f t="shared" si="1"/>
        <v>585000</v>
      </c>
      <c r="N36" s="16"/>
      <c r="O36" s="16"/>
      <c r="P36" s="16"/>
    </row>
    <row r="37" spans="1:16" ht="13.5" customHeight="1" x14ac:dyDescent="0.3">
      <c r="A37" s="20">
        <v>1422</v>
      </c>
      <c r="B37" s="53">
        <v>44844</v>
      </c>
      <c r="C37" s="67">
        <v>294</v>
      </c>
      <c r="D37" s="4"/>
      <c r="E37" s="4" t="s">
        <v>51</v>
      </c>
      <c r="F37" s="63"/>
      <c r="G37" s="58"/>
      <c r="H37" s="63"/>
      <c r="I37" s="63"/>
      <c r="J37" s="58" t="s">
        <v>168</v>
      </c>
      <c r="K37" s="33"/>
      <c r="L37" s="31" t="s">
        <v>108</v>
      </c>
      <c r="M37" s="59">
        <f t="shared" si="1"/>
        <v>441000</v>
      </c>
      <c r="N37" s="16"/>
      <c r="O37" s="16"/>
      <c r="P37" s="16"/>
    </row>
    <row r="38" spans="1:16" ht="13.5" customHeight="1" x14ac:dyDescent="0.3">
      <c r="A38" s="20">
        <v>1424</v>
      </c>
      <c r="B38" s="53">
        <v>45577</v>
      </c>
      <c r="C38" s="67">
        <v>26</v>
      </c>
      <c r="D38" s="4"/>
      <c r="E38" s="4" t="s">
        <v>51</v>
      </c>
      <c r="F38" s="63"/>
      <c r="G38" s="58" t="s">
        <v>168</v>
      </c>
      <c r="H38" s="63"/>
      <c r="I38" s="63"/>
      <c r="J38" s="58"/>
      <c r="K38" s="33"/>
      <c r="L38" s="31" t="s">
        <v>108</v>
      </c>
      <c r="M38" s="59">
        <f t="shared" si="1"/>
        <v>39000</v>
      </c>
      <c r="N38" s="16"/>
      <c r="O38" s="16"/>
      <c r="P38" s="16"/>
    </row>
    <row r="39" spans="1:16" ht="13.5" customHeight="1" x14ac:dyDescent="0.3">
      <c r="A39" s="20">
        <v>1524</v>
      </c>
      <c r="B39" s="53">
        <v>45589</v>
      </c>
      <c r="C39" s="67">
        <v>19</v>
      </c>
      <c r="D39" s="4"/>
      <c r="E39" s="4" t="s">
        <v>51</v>
      </c>
      <c r="F39" s="63"/>
      <c r="G39" s="58" t="s">
        <v>168</v>
      </c>
      <c r="H39" s="63"/>
      <c r="I39" s="63"/>
      <c r="J39" s="58"/>
      <c r="K39" s="33"/>
      <c r="L39" s="31" t="s">
        <v>108</v>
      </c>
      <c r="M39" s="59">
        <f t="shared" si="1"/>
        <v>28500</v>
      </c>
      <c r="N39" s="16"/>
      <c r="O39" s="16"/>
      <c r="P39" s="16"/>
    </row>
    <row r="40" spans="1:16" ht="18" customHeight="1" x14ac:dyDescent="0.3">
      <c r="A40" s="23">
        <v>1614</v>
      </c>
      <c r="B40" s="53">
        <v>41973</v>
      </c>
      <c r="C40" s="67">
        <v>489</v>
      </c>
      <c r="D40" s="17"/>
      <c r="E40" s="19" t="s">
        <v>51</v>
      </c>
      <c r="F40" s="63"/>
      <c r="G40" s="58"/>
      <c r="H40" s="63"/>
      <c r="I40" s="63" t="s">
        <v>168</v>
      </c>
      <c r="J40" s="58"/>
      <c r="K40" s="58"/>
      <c r="L40" s="31" t="s">
        <v>108</v>
      </c>
      <c r="M40" s="59">
        <f t="shared" si="1"/>
        <v>733500</v>
      </c>
      <c r="N40" s="16"/>
      <c r="O40" s="16"/>
      <c r="P40" s="16"/>
    </row>
    <row r="41" spans="1:16" ht="18" customHeight="1" x14ac:dyDescent="0.3">
      <c r="A41" s="23">
        <v>1913</v>
      </c>
      <c r="B41" s="53">
        <v>41615</v>
      </c>
      <c r="C41" s="67">
        <v>426</v>
      </c>
      <c r="D41" s="17"/>
      <c r="E41" s="19" t="s">
        <v>51</v>
      </c>
      <c r="F41" s="63"/>
      <c r="G41" s="58"/>
      <c r="H41" s="63"/>
      <c r="I41" s="63" t="s">
        <v>168</v>
      </c>
      <c r="J41" s="58"/>
      <c r="K41" s="58"/>
      <c r="L41" s="31" t="s">
        <v>108</v>
      </c>
      <c r="M41" s="59">
        <f t="shared" si="1"/>
        <v>639000</v>
      </c>
      <c r="N41" s="16"/>
      <c r="O41" s="16"/>
      <c r="P41" s="16"/>
    </row>
    <row r="42" spans="1:16" ht="18" customHeight="1" x14ac:dyDescent="0.3">
      <c r="A42" s="23">
        <v>1916</v>
      </c>
      <c r="B42" s="53">
        <v>42690</v>
      </c>
      <c r="C42" s="23">
        <v>405</v>
      </c>
      <c r="D42" s="17"/>
      <c r="E42" s="19" t="s">
        <v>51</v>
      </c>
      <c r="F42" s="63"/>
      <c r="G42" s="58"/>
      <c r="H42" s="63"/>
      <c r="I42" s="63"/>
      <c r="J42" s="58" t="s">
        <v>168</v>
      </c>
      <c r="K42" s="58"/>
      <c r="L42" s="31" t="s">
        <v>108</v>
      </c>
      <c r="M42" s="59">
        <f t="shared" si="1"/>
        <v>607500</v>
      </c>
    </row>
    <row r="43" spans="1:16" ht="18" customHeight="1" x14ac:dyDescent="0.3">
      <c r="A43" s="23">
        <v>1917</v>
      </c>
      <c r="B43" s="53">
        <v>43018</v>
      </c>
      <c r="C43" s="23">
        <v>442</v>
      </c>
      <c r="D43" s="17"/>
      <c r="E43" s="19" t="s">
        <v>51</v>
      </c>
      <c r="F43" s="63"/>
      <c r="G43" s="58"/>
      <c r="H43" s="63"/>
      <c r="I43" s="63" t="s">
        <v>168</v>
      </c>
      <c r="J43" s="58"/>
      <c r="K43" s="58"/>
      <c r="L43" s="31" t="s">
        <v>108</v>
      </c>
      <c r="M43" s="59">
        <f t="shared" si="1"/>
        <v>663000</v>
      </c>
    </row>
    <row r="44" spans="1:16" ht="18" customHeight="1" x14ac:dyDescent="0.3">
      <c r="A44" s="23">
        <v>1920</v>
      </c>
      <c r="B44" s="53">
        <v>44141</v>
      </c>
      <c r="C44" s="23">
        <v>302</v>
      </c>
      <c r="D44" s="17"/>
      <c r="E44" s="19" t="s">
        <v>51</v>
      </c>
      <c r="F44" s="63"/>
      <c r="G44" s="58"/>
      <c r="H44" s="63"/>
      <c r="I44" s="63"/>
      <c r="J44" s="58" t="s">
        <v>168</v>
      </c>
      <c r="K44" s="58"/>
      <c r="L44" s="31" t="s">
        <v>108</v>
      </c>
      <c r="M44" s="59">
        <f t="shared" si="1"/>
        <v>453000</v>
      </c>
    </row>
    <row r="45" spans="1:16" ht="18" customHeight="1" x14ac:dyDescent="0.3">
      <c r="A45" s="23">
        <v>2016</v>
      </c>
      <c r="B45" s="53">
        <v>42703</v>
      </c>
      <c r="C45" s="23">
        <v>428</v>
      </c>
      <c r="D45" s="17"/>
      <c r="E45" s="19" t="s">
        <v>51</v>
      </c>
      <c r="F45" s="63"/>
      <c r="G45" s="58"/>
      <c r="H45" s="63"/>
      <c r="I45" s="63" t="s">
        <v>168</v>
      </c>
      <c r="J45" s="58"/>
      <c r="K45" s="58"/>
      <c r="L45" s="31" t="s">
        <v>108</v>
      </c>
      <c r="M45" s="59">
        <f t="shared" si="1"/>
        <v>642000</v>
      </c>
    </row>
    <row r="46" spans="1:16" ht="18" customHeight="1" x14ac:dyDescent="0.3">
      <c r="A46" s="23">
        <v>3952</v>
      </c>
      <c r="B46" s="53">
        <v>44887</v>
      </c>
      <c r="C46" s="23">
        <v>368</v>
      </c>
      <c r="D46" s="17"/>
      <c r="E46" s="19" t="s">
        <v>51</v>
      </c>
      <c r="F46" s="63"/>
      <c r="G46" s="58"/>
      <c r="H46" s="63" t="s">
        <v>168</v>
      </c>
      <c r="I46" s="63"/>
      <c r="J46" s="58"/>
      <c r="K46" s="58"/>
      <c r="L46" s="31" t="s">
        <v>109</v>
      </c>
      <c r="M46" s="59">
        <f t="shared" si="1"/>
        <v>552000</v>
      </c>
    </row>
    <row r="47" spans="1:16" ht="18" customHeight="1" x14ac:dyDescent="0.3">
      <c r="A47" s="20">
        <v>3956</v>
      </c>
      <c r="B47" s="30">
        <v>44889</v>
      </c>
      <c r="C47" s="4">
        <v>364</v>
      </c>
      <c r="D47" s="4"/>
      <c r="E47" s="4" t="s">
        <v>51</v>
      </c>
      <c r="F47" s="63"/>
      <c r="G47" s="58"/>
      <c r="H47" s="63" t="s">
        <v>168</v>
      </c>
      <c r="I47" s="63"/>
      <c r="J47" s="33"/>
      <c r="K47" s="33"/>
      <c r="L47" s="31" t="s">
        <v>109</v>
      </c>
      <c r="M47" s="59">
        <f t="shared" si="1"/>
        <v>546000</v>
      </c>
    </row>
    <row r="48" spans="1:16" ht="18" customHeight="1" x14ac:dyDescent="0.3">
      <c r="A48" s="23">
        <v>3958</v>
      </c>
      <c r="B48" s="53">
        <v>44870</v>
      </c>
      <c r="C48" s="23">
        <v>440</v>
      </c>
      <c r="D48" s="17"/>
      <c r="E48" s="19" t="s">
        <v>51</v>
      </c>
      <c r="F48" s="63"/>
      <c r="G48" s="58"/>
      <c r="H48" s="63" t="s">
        <v>168</v>
      </c>
      <c r="I48" s="63"/>
      <c r="J48" s="58"/>
      <c r="K48" s="58"/>
      <c r="L48" s="31" t="s">
        <v>109</v>
      </c>
      <c r="M48" s="59">
        <f t="shared" si="1"/>
        <v>660000</v>
      </c>
    </row>
    <row r="49" spans="1:13" ht="18" customHeight="1" x14ac:dyDescent="0.3">
      <c r="A49" s="24"/>
      <c r="B49" s="70"/>
      <c r="C49" s="70"/>
      <c r="F49" s="71"/>
      <c r="G49" s="71"/>
      <c r="H49" s="71"/>
      <c r="I49" s="71"/>
      <c r="J49" s="71"/>
      <c r="L49" s="3" t="s">
        <v>170</v>
      </c>
      <c r="M49" s="72">
        <f>SUM(M5:M48)</f>
        <v>19235250</v>
      </c>
    </row>
    <row r="50" spans="1:13" ht="18" customHeight="1" x14ac:dyDescent="0.3">
      <c r="B50" s="70"/>
      <c r="C50" s="70"/>
      <c r="H50" s="71"/>
      <c r="I50" s="71"/>
      <c r="J50" s="71"/>
    </row>
    <row r="51" spans="1:13" ht="18" customHeight="1" x14ac:dyDescent="0.3">
      <c r="B51" s="10" t="s">
        <v>171</v>
      </c>
      <c r="C51" s="10"/>
    </row>
    <row r="52" spans="1:13" ht="18" customHeight="1" x14ac:dyDescent="0.3">
      <c r="B52" s="73" t="s">
        <v>172</v>
      </c>
      <c r="C52" s="73"/>
    </row>
    <row r="53" spans="1:13" ht="24" customHeight="1" thickBot="1" x14ac:dyDescent="0.35">
      <c r="B53" s="74" t="s">
        <v>85</v>
      </c>
      <c r="C53" s="75" t="s">
        <v>86</v>
      </c>
      <c r="D53" s="75" t="s">
        <v>87</v>
      </c>
      <c r="E53" s="75" t="s">
        <v>56</v>
      </c>
      <c r="F53" s="75" t="s">
        <v>173</v>
      </c>
      <c r="G53" s="75" t="s">
        <v>107</v>
      </c>
      <c r="H53" s="75" t="s">
        <v>174</v>
      </c>
      <c r="I53" s="75" t="s">
        <v>88</v>
      </c>
    </row>
    <row r="54" spans="1:13" ht="24" customHeight="1" thickBot="1" x14ac:dyDescent="0.35">
      <c r="B54" s="76">
        <v>3</v>
      </c>
      <c r="C54" s="27">
        <v>721</v>
      </c>
      <c r="D54" s="27" t="s">
        <v>2</v>
      </c>
      <c r="E54" s="77">
        <v>44523</v>
      </c>
      <c r="F54" s="27">
        <v>383</v>
      </c>
      <c r="G54" s="28" t="s">
        <v>112</v>
      </c>
      <c r="H54" s="27" t="s">
        <v>175</v>
      </c>
      <c r="I54" s="78">
        <v>441875</v>
      </c>
    </row>
    <row r="55" spans="1:13" ht="24" customHeight="1" thickBot="1" x14ac:dyDescent="0.35">
      <c r="B55" s="76">
        <v>5</v>
      </c>
      <c r="C55" s="27">
        <v>821</v>
      </c>
      <c r="D55" s="27" t="s">
        <v>2</v>
      </c>
      <c r="E55" s="77">
        <v>44528</v>
      </c>
      <c r="F55" s="27">
        <v>378.5</v>
      </c>
      <c r="G55" s="27" t="s">
        <v>176</v>
      </c>
      <c r="H55" s="27" t="s">
        <v>177</v>
      </c>
      <c r="I55" s="79">
        <v>278760</v>
      </c>
    </row>
    <row r="56" spans="1:13" ht="24" customHeight="1" thickBot="1" x14ac:dyDescent="0.35">
      <c r="B56" s="76">
        <v>6</v>
      </c>
      <c r="C56" s="27">
        <v>2018</v>
      </c>
      <c r="D56" s="27" t="s">
        <v>2</v>
      </c>
      <c r="E56" s="77">
        <v>43443</v>
      </c>
      <c r="F56" s="27">
        <v>439</v>
      </c>
      <c r="G56" s="27" t="s">
        <v>176</v>
      </c>
      <c r="H56" s="27" t="s">
        <v>178</v>
      </c>
      <c r="I56" s="79">
        <v>322190</v>
      </c>
    </row>
    <row r="57" spans="1:13" ht="24" customHeight="1" thickBot="1" x14ac:dyDescent="0.35">
      <c r="B57" s="76">
        <v>7</v>
      </c>
      <c r="C57" s="27">
        <v>1623</v>
      </c>
      <c r="D57" s="27" t="s">
        <v>4</v>
      </c>
      <c r="E57" s="77">
        <v>45260</v>
      </c>
      <c r="F57" s="27">
        <v>30</v>
      </c>
      <c r="G57" s="27" t="s">
        <v>113</v>
      </c>
      <c r="H57" s="27" t="s">
        <v>159</v>
      </c>
      <c r="I57" s="79">
        <v>52800</v>
      </c>
    </row>
    <row r="58" spans="1:13" ht="24" customHeight="1" x14ac:dyDescent="0.3">
      <c r="B58" s="80"/>
      <c r="C58" s="80"/>
      <c r="D58" s="81"/>
      <c r="E58" s="81"/>
      <c r="F58" s="82"/>
      <c r="G58" s="81"/>
      <c r="H58" s="81"/>
      <c r="I58" s="81"/>
      <c r="J58" s="83"/>
    </row>
    <row r="59" spans="1:13" ht="24" customHeight="1" x14ac:dyDescent="0.3">
      <c r="B59" s="80"/>
      <c r="C59" s="80"/>
      <c r="D59" s="81"/>
      <c r="E59" s="81"/>
      <c r="F59" s="82"/>
      <c r="G59" s="81"/>
      <c r="H59" s="81"/>
      <c r="I59" s="81"/>
      <c r="J59" s="83"/>
    </row>
    <row r="61" spans="1:13" ht="18" customHeight="1" x14ac:dyDescent="0.3">
      <c r="B61" s="24" t="s">
        <v>179</v>
      </c>
      <c r="C61" s="24"/>
    </row>
    <row r="62" spans="1:13" ht="30" customHeight="1" x14ac:dyDescent="0.3">
      <c r="B62" s="25" t="s">
        <v>38</v>
      </c>
      <c r="C62" s="25" t="s">
        <v>0</v>
      </c>
      <c r="D62" s="25" t="s">
        <v>1</v>
      </c>
      <c r="E62" s="25" t="s">
        <v>56</v>
      </c>
      <c r="F62" s="113" t="s">
        <v>57</v>
      </c>
      <c r="G62" s="114"/>
      <c r="H62" s="25" t="s">
        <v>58</v>
      </c>
      <c r="I62" s="25" t="s">
        <v>39</v>
      </c>
      <c r="J62" s="115" t="s">
        <v>180</v>
      </c>
      <c r="K62" s="116"/>
    </row>
    <row r="63" spans="1:13" ht="12" customHeight="1" x14ac:dyDescent="0.3">
      <c r="B63" s="5" t="s">
        <v>119</v>
      </c>
      <c r="C63" s="5" t="s">
        <v>52</v>
      </c>
      <c r="D63" s="2" t="s">
        <v>181</v>
      </c>
      <c r="E63" s="13">
        <v>45359</v>
      </c>
      <c r="F63" s="113" t="s">
        <v>104</v>
      </c>
      <c r="G63" s="114"/>
      <c r="H63" s="2">
        <v>921</v>
      </c>
      <c r="I63" s="2">
        <v>15</v>
      </c>
      <c r="J63" s="119">
        <v>45400</v>
      </c>
      <c r="K63" s="116"/>
    </row>
    <row r="64" spans="1:13" ht="12" customHeight="1" x14ac:dyDescent="0.3">
      <c r="B64" s="4">
        <v>324</v>
      </c>
      <c r="C64" s="4" t="s">
        <v>52</v>
      </c>
      <c r="D64" s="2" t="s">
        <v>181</v>
      </c>
      <c r="E64" s="21">
        <v>45372</v>
      </c>
      <c r="F64" s="113" t="s">
        <v>104</v>
      </c>
      <c r="G64" s="114"/>
      <c r="H64" s="4">
        <v>1920</v>
      </c>
      <c r="I64" s="4">
        <v>16</v>
      </c>
      <c r="J64" s="119">
        <v>45377</v>
      </c>
      <c r="K64" s="116"/>
    </row>
    <row r="65" spans="2:11" ht="12" customHeight="1" x14ac:dyDescent="0.3">
      <c r="B65" s="4">
        <v>624</v>
      </c>
      <c r="C65" s="4" t="s">
        <v>51</v>
      </c>
      <c r="D65" s="2" t="s">
        <v>182</v>
      </c>
      <c r="E65" s="21">
        <v>45413</v>
      </c>
      <c r="F65" s="113" t="s">
        <v>122</v>
      </c>
      <c r="G65" s="114"/>
      <c r="H65" s="4">
        <v>1916</v>
      </c>
      <c r="I65" s="4">
        <v>26</v>
      </c>
      <c r="J65" s="115" t="s">
        <v>183</v>
      </c>
      <c r="K65" s="116"/>
    </row>
    <row r="66" spans="2:11" ht="12" customHeight="1" x14ac:dyDescent="0.3">
      <c r="B66" s="4">
        <v>724</v>
      </c>
      <c r="C66" s="4" t="s">
        <v>52</v>
      </c>
      <c r="D66" s="2" t="s">
        <v>181</v>
      </c>
      <c r="E66" s="21">
        <v>45420</v>
      </c>
      <c r="F66" s="113" t="s">
        <v>184</v>
      </c>
      <c r="G66" s="114"/>
      <c r="H66" s="4">
        <v>1121</v>
      </c>
      <c r="I66" s="4">
        <v>28</v>
      </c>
      <c r="J66" s="115" t="s">
        <v>185</v>
      </c>
      <c r="K66" s="116"/>
    </row>
    <row r="67" spans="2:11" ht="12" customHeight="1" x14ac:dyDescent="0.3">
      <c r="B67" s="4">
        <v>1024</v>
      </c>
      <c r="C67" s="4" t="s">
        <v>51</v>
      </c>
      <c r="D67" s="2" t="s">
        <v>182</v>
      </c>
      <c r="E67" s="21">
        <v>45476</v>
      </c>
      <c r="F67" s="113" t="s">
        <v>184</v>
      </c>
      <c r="G67" s="114"/>
      <c r="H67" s="4">
        <v>821</v>
      </c>
      <c r="I67" s="4">
        <v>25</v>
      </c>
      <c r="J67" s="115" t="s">
        <v>186</v>
      </c>
      <c r="K67" s="116"/>
    </row>
    <row r="68" spans="2:11" ht="12" customHeight="1" x14ac:dyDescent="0.3">
      <c r="B68" s="4">
        <v>1124</v>
      </c>
      <c r="C68" s="4" t="s">
        <v>51</v>
      </c>
      <c r="D68" s="2" t="s">
        <v>182</v>
      </c>
      <c r="E68" s="21">
        <v>45513</v>
      </c>
      <c r="F68" s="113" t="s">
        <v>187</v>
      </c>
      <c r="G68" s="114"/>
      <c r="H68" s="4">
        <v>821</v>
      </c>
      <c r="I68" s="4">
        <v>25</v>
      </c>
      <c r="J68" s="115" t="s">
        <v>188</v>
      </c>
      <c r="K68" s="116"/>
    </row>
  </sheetData>
  <mergeCells count="19">
    <mergeCell ref="D2:E2"/>
    <mergeCell ref="G2:L2"/>
    <mergeCell ref="D3:E3"/>
    <mergeCell ref="L3:L4"/>
    <mergeCell ref="A4:B4"/>
    <mergeCell ref="F63:G63"/>
    <mergeCell ref="J63:K63"/>
    <mergeCell ref="F64:G64"/>
    <mergeCell ref="J64:K64"/>
    <mergeCell ref="F62:G62"/>
    <mergeCell ref="J62:K62"/>
    <mergeCell ref="F68:G68"/>
    <mergeCell ref="J68:K68"/>
    <mergeCell ref="F65:G65"/>
    <mergeCell ref="J65:K65"/>
    <mergeCell ref="F66:G66"/>
    <mergeCell ref="J66:K66"/>
    <mergeCell ref="F67:G67"/>
    <mergeCell ref="J67:K6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CE1C-62D5-4ABE-963B-B096F0A74F40}">
  <dimension ref="A1"/>
  <sheetViews>
    <sheetView workbookViewId="0">
      <selection activeCell="G14" sqref="G14"/>
    </sheetView>
  </sheetViews>
  <sheetFormatPr baseColWidth="10" defaultRowHeight="13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Historico</vt:lpstr>
      <vt:lpstr>Formulario OAF</vt:lpstr>
      <vt:lpstr>En producción SBG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iNVENTARIO 2020.xlsx</dc:title>
  <dc:creator>Usuario</dc:creator>
  <cp:lastModifiedBy>saul.brenes</cp:lastModifiedBy>
  <cp:lastPrinted>2024-11-05T01:36:15Z</cp:lastPrinted>
  <dcterms:created xsi:type="dcterms:W3CDTF">2020-12-18T13:20:31Z</dcterms:created>
  <dcterms:modified xsi:type="dcterms:W3CDTF">2024-11-05T02:06:59Z</dcterms:modified>
</cp:coreProperties>
</file>