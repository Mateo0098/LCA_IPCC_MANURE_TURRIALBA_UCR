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aria_rodriguez_vasq_ucr_ac_cr/Documents/Documentos/Proyectos-UCR/VAS-LECHERIA/"/>
    </mc:Choice>
  </mc:AlternateContent>
  <xr:revisionPtr revIDLastSave="86" documentId="8_{4461401D-338A-49DC-ADBB-C04BBCF7792A}" xr6:coauthVersionLast="47" xr6:coauthVersionMax="47" xr10:uidLastSave="{565C089F-9E4A-4DB3-8F2C-C1D9E63A5CF1}"/>
  <bookViews>
    <workbookView xWindow="-120" yWindow="-120" windowWidth="29040" windowHeight="15840" activeTab="1" xr2:uid="{F28BE009-E635-4D7A-BE08-A5714B4FC927}"/>
  </bookViews>
  <sheets>
    <sheet name="Agua" sheetId="1" r:id="rId1"/>
    <sheet name="Boñiga" sheetId="2" r:id="rId2"/>
    <sheet name="Consumo eléctrico 2023" sheetId="3" r:id="rId3"/>
    <sheet name="Hoj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G22" i="1" l="1"/>
  <c r="G21" i="1"/>
  <c r="G20" i="1"/>
  <c r="G19" i="1"/>
  <c r="G18" i="1"/>
  <c r="G17" i="1"/>
  <c r="G16" i="1"/>
  <c r="G15" i="1"/>
  <c r="G14" i="1"/>
  <c r="G13" i="1"/>
  <c r="G12" i="1"/>
  <c r="G11" i="1"/>
  <c r="G5" i="1"/>
  <c r="G4" i="1"/>
  <c r="J15" i="2"/>
  <c r="J14" i="2"/>
  <c r="J13" i="2"/>
  <c r="J12" i="2"/>
  <c r="G23" i="2"/>
  <c r="G22" i="2"/>
  <c r="G21" i="2"/>
  <c r="G20" i="2"/>
  <c r="G19" i="2"/>
  <c r="G18" i="2"/>
  <c r="G17" i="2"/>
  <c r="G16" i="2"/>
  <c r="G15" i="2"/>
  <c r="G14" i="2"/>
  <c r="G13" i="2"/>
  <c r="G12" i="2"/>
</calcChain>
</file>

<file path=xl/sharedStrings.xml><?xml version="1.0" encoding="utf-8"?>
<sst xmlns="http://schemas.openxmlformats.org/spreadsheetml/2006/main" count="146" uniqueCount="36">
  <si>
    <t>Fecha</t>
  </si>
  <si>
    <t>Mes</t>
  </si>
  <si>
    <t>Mayo</t>
  </si>
  <si>
    <t>Junio</t>
  </si>
  <si>
    <t xml:space="preserve">Junio </t>
  </si>
  <si>
    <t>Julio</t>
  </si>
  <si>
    <t>Agosto</t>
  </si>
  <si>
    <t>Setiembre</t>
  </si>
  <si>
    <t>Octubre</t>
  </si>
  <si>
    <t>2/11//2022</t>
  </si>
  <si>
    <t>Noviembre</t>
  </si>
  <si>
    <t>Diciembre</t>
  </si>
  <si>
    <t>Enero</t>
  </si>
  <si>
    <t>Febrero</t>
  </si>
  <si>
    <t>Marzo</t>
  </si>
  <si>
    <t>Abril</t>
  </si>
  <si>
    <t>Volumen (L)</t>
  </si>
  <si>
    <t>Cantidad de Boñiga (Kg)</t>
  </si>
  <si>
    <t>Energía (kWh)</t>
  </si>
  <si>
    <t>Las dimensiones de la fosa de almacenamiento de purines son:</t>
  </si>
  <si>
    <t>2.4 m ancho</t>
  </si>
  <si>
    <t>5.3 m largo</t>
  </si>
  <si>
    <t>1.15 m profundidad</t>
  </si>
  <si>
    <t>Objetivo y alcance</t>
  </si>
  <si>
    <r>
      <rPr>
        <b/>
        <sz val="11"/>
        <color theme="1"/>
        <rFont val="Calibri"/>
        <family val="2"/>
        <scheme val="minor"/>
      </rPr>
      <t>Alcance</t>
    </r>
    <r>
      <rPr>
        <sz val="11"/>
        <color theme="1"/>
        <rFont val="Calibri"/>
        <family val="2"/>
        <scheme val="minor"/>
      </rPr>
      <t>: El análisis va a abarcar las actividades que se realizan dentro de la infraestructura de ordeño. Es decir, desde la entrada del ganado a la zona de ordeño, su salida y finalmente, la limpieza del espacio.</t>
    </r>
  </si>
  <si>
    <t xml:space="preserve">Estimar el impacto ambiental de dos escenarios de valorización de boñiga producida en las actividades realizadas de ordeño de la lecheria de la sede del atlántico de la UCR. </t>
  </si>
  <si>
    <t>Escenario 1: Utilización para biodigestor</t>
  </si>
  <si>
    <t>Escenario 2: Utilización para compost</t>
  </si>
  <si>
    <t>Cambio climático, eutrofización, consumo de recursos naturales.</t>
  </si>
  <si>
    <t xml:space="preserve">Marzo </t>
  </si>
  <si>
    <t>min</t>
  </si>
  <si>
    <t>max</t>
  </si>
  <si>
    <t>promedio</t>
  </si>
  <si>
    <t>desviación estandar</t>
  </si>
  <si>
    <t>Cantidad de boñiga (kg)</t>
  </si>
  <si>
    <r>
      <rPr>
        <b/>
        <sz val="11"/>
        <color theme="1"/>
        <rFont val="Calibri"/>
        <family val="2"/>
        <scheme val="minor"/>
      </rPr>
      <t>Unidad funcional</t>
    </r>
    <r>
      <rPr>
        <sz val="11"/>
        <color theme="1"/>
        <rFont val="Calibri"/>
        <family val="2"/>
        <scheme val="minor"/>
      </rPr>
      <t>: kg de leche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</si>
</sst>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0" xfId="0" applyFont="1"/>
    <xf numFmtId="1" fontId="0" fillId="0" borderId="0" xfId="0" applyNumberFormat="1"/>
    <xf numFmtId="0" fontId="8" fillId="0" borderId="1" xfId="1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FA45387-EE31-40F8-9737-A3749F58D1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Boñiga!$F$12:$F$23</c:f>
              <c:strCache>
                <c:ptCount val="12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 </c:v>
                </c:pt>
                <c:pt idx="11">
                  <c:v>Abril</c:v>
                </c:pt>
              </c:strCache>
            </c:strRef>
          </c:xVal>
          <c:yVal>
            <c:numRef>
              <c:f>Boñiga!$G$12:$G$23</c:f>
              <c:numCache>
                <c:formatCode>0</c:formatCode>
                <c:ptCount val="12"/>
                <c:pt idx="0">
                  <c:v>79.313333333333333</c:v>
                </c:pt>
                <c:pt idx="1">
                  <c:v>75.507499999999993</c:v>
                </c:pt>
                <c:pt idx="2">
                  <c:v>31.004999999999999</c:v>
                </c:pt>
                <c:pt idx="3">
                  <c:v>40.107999999999997</c:v>
                </c:pt>
                <c:pt idx="4">
                  <c:v>66.709999999999994</c:v>
                </c:pt>
                <c:pt idx="5">
                  <c:v>38.28</c:v>
                </c:pt>
                <c:pt idx="6">
                  <c:v>48.125</c:v>
                </c:pt>
                <c:pt idx="7">
                  <c:v>45.62</c:v>
                </c:pt>
                <c:pt idx="8">
                  <c:v>35.113333333333337</c:v>
                </c:pt>
                <c:pt idx="9">
                  <c:v>57.886666666666677</c:v>
                </c:pt>
                <c:pt idx="10">
                  <c:v>34.74</c:v>
                </c:pt>
                <c:pt idx="11">
                  <c:v>37.726666666666667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E-42CE-83B6-BE9A5866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888239"/>
        <c:axId val="920888719"/>
      </c:scatterChart>
      <c:valAx>
        <c:axId val="92088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20888719"/>
        <c:crosses val="autoZero"/>
        <c:crossBetween val="midCat"/>
      </c:valAx>
      <c:valAx>
        <c:axId val="9208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2088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11</xdr:row>
      <xdr:rowOff>52387</xdr:rowOff>
    </xdr:from>
    <xdr:to>
      <xdr:col>17</xdr:col>
      <xdr:colOff>76200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63A09D-0E34-2873-A87C-33C67251A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8CF2-CBE1-48F7-A6AC-3713847364CF}">
  <dimension ref="A1:G37"/>
  <sheetViews>
    <sheetView workbookViewId="0">
      <selection activeCell="D3" sqref="D3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1</v>
      </c>
      <c r="D1" s="1" t="s">
        <v>16</v>
      </c>
    </row>
    <row r="2" spans="1:7" x14ac:dyDescent="0.25">
      <c r="A2" s="2">
        <v>44701</v>
      </c>
      <c r="B2" s="1" t="s">
        <v>2</v>
      </c>
      <c r="C2" s="1">
        <v>1</v>
      </c>
      <c r="D2" s="3">
        <v>676.8</v>
      </c>
    </row>
    <row r="3" spans="1:7" x14ac:dyDescent="0.25">
      <c r="A3" s="2">
        <v>44704</v>
      </c>
      <c r="B3" s="1" t="s">
        <v>2</v>
      </c>
      <c r="C3" s="1">
        <v>1</v>
      </c>
      <c r="D3" s="3">
        <v>592.19999999999993</v>
      </c>
    </row>
    <row r="4" spans="1:7" x14ac:dyDescent="0.25">
      <c r="A4" s="2">
        <v>44722</v>
      </c>
      <c r="B4" s="1" t="s">
        <v>3</v>
      </c>
      <c r="C4" s="1">
        <v>2</v>
      </c>
      <c r="D4" s="3">
        <v>846</v>
      </c>
      <c r="F4" t="s">
        <v>32</v>
      </c>
      <c r="G4" s="12">
        <f>AVERAGE(D2:D37)</f>
        <v>684.95449999999983</v>
      </c>
    </row>
    <row r="5" spans="1:7" x14ac:dyDescent="0.25">
      <c r="A5" s="2">
        <v>44725</v>
      </c>
      <c r="B5" s="1" t="s">
        <v>4</v>
      </c>
      <c r="C5" s="1">
        <v>2</v>
      </c>
      <c r="D5" s="3">
        <v>719.09999999999991</v>
      </c>
      <c r="F5" t="s">
        <v>33</v>
      </c>
      <c r="G5" s="12">
        <f>STDEVA(D2:D37)</f>
        <v>98.517864254300648</v>
      </c>
    </row>
    <row r="6" spans="1:7" x14ac:dyDescent="0.25">
      <c r="A6" s="2">
        <v>44736</v>
      </c>
      <c r="B6" s="1" t="s">
        <v>3</v>
      </c>
      <c r="C6" s="1">
        <v>2</v>
      </c>
      <c r="D6" s="3">
        <v>662.41800000000001</v>
      </c>
    </row>
    <row r="7" spans="1:7" x14ac:dyDescent="0.25">
      <c r="A7" s="2">
        <v>44746</v>
      </c>
      <c r="B7" s="1" t="s">
        <v>5</v>
      </c>
      <c r="C7" s="1">
        <v>3</v>
      </c>
      <c r="D7" s="3">
        <v>592.19999999999993</v>
      </c>
    </row>
    <row r="8" spans="1:7" x14ac:dyDescent="0.25">
      <c r="A8" s="2">
        <v>44755</v>
      </c>
      <c r="B8" s="1" t="s">
        <v>5</v>
      </c>
      <c r="C8" s="1">
        <v>3</v>
      </c>
      <c r="D8" s="3">
        <v>662.41800000000001</v>
      </c>
    </row>
    <row r="9" spans="1:7" x14ac:dyDescent="0.25">
      <c r="A9" s="2">
        <v>44760</v>
      </c>
      <c r="B9" s="1" t="s">
        <v>5</v>
      </c>
      <c r="C9" s="1">
        <v>3</v>
      </c>
      <c r="D9" s="3">
        <v>676.8</v>
      </c>
    </row>
    <row r="10" spans="1:7" x14ac:dyDescent="0.25">
      <c r="A10" s="2">
        <v>44785</v>
      </c>
      <c r="B10" s="1" t="s">
        <v>6</v>
      </c>
      <c r="C10" s="1">
        <v>4</v>
      </c>
      <c r="D10" s="3">
        <v>846</v>
      </c>
      <c r="F10" s="11" t="s">
        <v>1</v>
      </c>
      <c r="G10" s="13" t="s">
        <v>16</v>
      </c>
    </row>
    <row r="11" spans="1:7" x14ac:dyDescent="0.25">
      <c r="A11" s="2">
        <v>44790</v>
      </c>
      <c r="B11" s="1" t="s">
        <v>6</v>
      </c>
      <c r="C11" s="1">
        <v>4</v>
      </c>
      <c r="D11" s="3">
        <v>761.4</v>
      </c>
      <c r="F11" t="s">
        <v>2</v>
      </c>
      <c r="G11" s="12">
        <f>AVERAGE(D2:D3)</f>
        <v>634.5</v>
      </c>
    </row>
    <row r="12" spans="1:7" x14ac:dyDescent="0.25">
      <c r="A12" s="2">
        <v>44797</v>
      </c>
      <c r="B12" s="1" t="s">
        <v>6</v>
      </c>
      <c r="C12" s="1">
        <v>4</v>
      </c>
      <c r="D12" s="3">
        <v>697.94999999999993</v>
      </c>
      <c r="F12" t="s">
        <v>3</v>
      </c>
      <c r="G12" s="12">
        <f>AVERAGE(D4:D6)</f>
        <v>742.50599999999997</v>
      </c>
    </row>
    <row r="13" spans="1:7" x14ac:dyDescent="0.25">
      <c r="A13" s="2">
        <v>44811</v>
      </c>
      <c r="B13" s="1" t="s">
        <v>7</v>
      </c>
      <c r="C13" s="1">
        <v>5</v>
      </c>
      <c r="D13" s="3">
        <v>712.33199999999999</v>
      </c>
      <c r="F13" t="s">
        <v>5</v>
      </c>
      <c r="G13" s="12">
        <f>AVERAGE(D7:D9)</f>
        <v>643.80599999999993</v>
      </c>
    </row>
    <row r="14" spans="1:7" x14ac:dyDescent="0.25">
      <c r="A14" s="2">
        <v>44818</v>
      </c>
      <c r="B14" s="1" t="s">
        <v>7</v>
      </c>
      <c r="C14" s="1">
        <v>5</v>
      </c>
      <c r="D14" s="3">
        <v>634.5</v>
      </c>
      <c r="F14" t="s">
        <v>6</v>
      </c>
      <c r="G14" s="12">
        <f>AVERAGE(D10:D12)</f>
        <v>768.44999999999993</v>
      </c>
    </row>
    <row r="15" spans="1:7" x14ac:dyDescent="0.25">
      <c r="A15" s="2">
        <v>44825</v>
      </c>
      <c r="B15" s="1" t="s">
        <v>7</v>
      </c>
      <c r="C15" s="1">
        <v>5</v>
      </c>
      <c r="D15" s="3">
        <v>873.91799999999989</v>
      </c>
      <c r="F15" t="s">
        <v>7</v>
      </c>
      <c r="G15" s="12">
        <f>AVERAGE(D13:D15)</f>
        <v>740.25</v>
      </c>
    </row>
    <row r="16" spans="1:7" x14ac:dyDescent="0.25">
      <c r="A16" s="2">
        <v>44839</v>
      </c>
      <c r="B16" s="1" t="s">
        <v>8</v>
      </c>
      <c r="C16" s="1">
        <v>6</v>
      </c>
      <c r="D16" s="3">
        <v>662.41800000000001</v>
      </c>
      <c r="F16" t="s">
        <v>8</v>
      </c>
      <c r="G16" s="12">
        <f>AVERAGE(D16:D18)</f>
        <v>639.01199999999994</v>
      </c>
    </row>
    <row r="17" spans="1:7" x14ac:dyDescent="0.25">
      <c r="A17" s="2">
        <v>44846</v>
      </c>
      <c r="B17" s="1" t="s">
        <v>8</v>
      </c>
      <c r="C17" s="1">
        <v>6</v>
      </c>
      <c r="D17" s="3">
        <v>676.8</v>
      </c>
      <c r="F17" t="s">
        <v>10</v>
      </c>
      <c r="G17" s="12">
        <f>AVERAGE(D19:D22)</f>
        <v>652.05449999999996</v>
      </c>
    </row>
    <row r="18" spans="1:7" x14ac:dyDescent="0.25">
      <c r="A18" s="2">
        <v>44860</v>
      </c>
      <c r="B18" s="1" t="s">
        <v>8</v>
      </c>
      <c r="C18" s="1">
        <v>6</v>
      </c>
      <c r="D18" s="3">
        <v>577.81799999999998</v>
      </c>
      <c r="F18" t="s">
        <v>11</v>
      </c>
      <c r="G18" s="12">
        <f>AVERAGE(D23:D25)</f>
        <v>669.75</v>
      </c>
    </row>
    <row r="19" spans="1:7" x14ac:dyDescent="0.25">
      <c r="A19" s="1" t="s">
        <v>9</v>
      </c>
      <c r="B19" s="1" t="s">
        <v>10</v>
      </c>
      <c r="C19" s="1">
        <v>7</v>
      </c>
      <c r="D19" s="3">
        <v>655.65</v>
      </c>
      <c r="F19" t="s">
        <v>12</v>
      </c>
      <c r="G19" s="12">
        <f>AVERAGE(D26:D28)</f>
        <v>586.55999999999995</v>
      </c>
    </row>
    <row r="20" spans="1:7" x14ac:dyDescent="0.25">
      <c r="A20" s="2">
        <v>44874</v>
      </c>
      <c r="B20" s="1" t="s">
        <v>10</v>
      </c>
      <c r="C20" s="1">
        <v>7</v>
      </c>
      <c r="D20" s="3">
        <v>634.5</v>
      </c>
      <c r="F20" t="s">
        <v>13</v>
      </c>
      <c r="G20" s="12">
        <f>AVERAGE(D29:D31)</f>
        <v>783.11399999999992</v>
      </c>
    </row>
    <row r="21" spans="1:7" x14ac:dyDescent="0.25">
      <c r="A21" s="2">
        <v>44888</v>
      </c>
      <c r="B21" s="1" t="s">
        <v>10</v>
      </c>
      <c r="C21" s="1">
        <v>7</v>
      </c>
      <c r="D21" s="3">
        <v>676.8</v>
      </c>
      <c r="F21" t="s">
        <v>29</v>
      </c>
      <c r="G21" s="12">
        <f>AVERAGE(D32:D34)</f>
        <v>648.6</v>
      </c>
    </row>
    <row r="22" spans="1:7" x14ac:dyDescent="0.25">
      <c r="A22" s="2">
        <v>44895</v>
      </c>
      <c r="B22" s="1" t="s">
        <v>10</v>
      </c>
      <c r="C22" s="1">
        <v>7</v>
      </c>
      <c r="D22" s="3">
        <v>641.26800000000003</v>
      </c>
      <c r="F22" t="s">
        <v>15</v>
      </c>
      <c r="G22" s="12">
        <f>AVERAGE(D35:D37)</f>
        <v>705</v>
      </c>
    </row>
    <row r="23" spans="1:7" x14ac:dyDescent="0.25">
      <c r="A23" s="2">
        <v>44900</v>
      </c>
      <c r="B23" s="1" t="s">
        <v>11</v>
      </c>
      <c r="C23" s="1">
        <v>8</v>
      </c>
      <c r="D23" s="3">
        <v>655.65</v>
      </c>
    </row>
    <row r="24" spans="1:7" x14ac:dyDescent="0.25">
      <c r="A24" s="2">
        <v>44901</v>
      </c>
      <c r="B24" s="1" t="s">
        <v>11</v>
      </c>
      <c r="C24" s="1">
        <v>8</v>
      </c>
      <c r="D24" s="3">
        <v>634.5</v>
      </c>
    </row>
    <row r="25" spans="1:7" x14ac:dyDescent="0.25">
      <c r="A25" s="2">
        <v>44902</v>
      </c>
      <c r="B25" s="1" t="s">
        <v>11</v>
      </c>
      <c r="C25" s="1">
        <v>8</v>
      </c>
      <c r="D25" s="3">
        <v>719.09999999999991</v>
      </c>
    </row>
    <row r="26" spans="1:7" x14ac:dyDescent="0.25">
      <c r="A26" s="2">
        <v>44956</v>
      </c>
      <c r="B26" s="1" t="s">
        <v>12</v>
      </c>
      <c r="C26" s="1">
        <v>9</v>
      </c>
      <c r="D26" s="3">
        <v>702.18000000000006</v>
      </c>
    </row>
    <row r="27" spans="1:7" x14ac:dyDescent="0.25">
      <c r="A27" s="2">
        <v>44958</v>
      </c>
      <c r="B27" s="1" t="s">
        <v>12</v>
      </c>
      <c r="C27" s="1">
        <v>9</v>
      </c>
      <c r="D27" s="3">
        <v>549.9</v>
      </c>
    </row>
    <row r="28" spans="1:7" x14ac:dyDescent="0.25">
      <c r="A28" s="4">
        <v>44959</v>
      </c>
      <c r="B28" s="5" t="s">
        <v>12</v>
      </c>
      <c r="C28" s="1">
        <v>9</v>
      </c>
      <c r="D28" s="3">
        <v>507.6</v>
      </c>
    </row>
    <row r="29" spans="1:7" x14ac:dyDescent="0.25">
      <c r="A29" s="4">
        <v>44971</v>
      </c>
      <c r="B29" s="5" t="s">
        <v>13</v>
      </c>
      <c r="C29" s="1">
        <v>10</v>
      </c>
      <c r="D29" s="5">
        <v>930.59999999999991</v>
      </c>
    </row>
    <row r="30" spans="1:7" x14ac:dyDescent="0.25">
      <c r="A30" s="4">
        <v>44972</v>
      </c>
      <c r="B30" s="5" t="s">
        <v>13</v>
      </c>
      <c r="C30" s="1">
        <v>10</v>
      </c>
      <c r="D30" s="5">
        <v>615.04199999999992</v>
      </c>
    </row>
    <row r="31" spans="1:7" x14ac:dyDescent="0.25">
      <c r="A31" s="4">
        <v>45009</v>
      </c>
      <c r="B31" s="5" t="s">
        <v>13</v>
      </c>
      <c r="C31" s="1">
        <v>10</v>
      </c>
      <c r="D31" s="5">
        <v>803.69999999999993</v>
      </c>
    </row>
    <row r="32" spans="1:7" x14ac:dyDescent="0.25">
      <c r="A32" s="4">
        <v>45029</v>
      </c>
      <c r="B32" s="5" t="s">
        <v>14</v>
      </c>
      <c r="C32" s="1">
        <v>11</v>
      </c>
      <c r="D32" s="5">
        <v>761.4</v>
      </c>
    </row>
    <row r="33" spans="1:4" x14ac:dyDescent="0.25">
      <c r="A33" s="4">
        <v>45005</v>
      </c>
      <c r="B33" s="5" t="s">
        <v>14</v>
      </c>
      <c r="C33" s="1">
        <v>11</v>
      </c>
      <c r="D33" s="5">
        <v>507.59999999999997</v>
      </c>
    </row>
    <row r="34" spans="1:4" x14ac:dyDescent="0.25">
      <c r="A34" s="4">
        <v>45012</v>
      </c>
      <c r="B34" s="5" t="s">
        <v>14</v>
      </c>
      <c r="C34" s="1">
        <v>11</v>
      </c>
      <c r="D34" s="5">
        <v>676.8</v>
      </c>
    </row>
    <row r="35" spans="1:4" x14ac:dyDescent="0.25">
      <c r="A35" s="4">
        <v>45020</v>
      </c>
      <c r="B35" s="5" t="s">
        <v>15</v>
      </c>
      <c r="C35" s="1">
        <v>12</v>
      </c>
      <c r="D35" s="5">
        <v>592.19999999999993</v>
      </c>
    </row>
    <row r="36" spans="1:4" x14ac:dyDescent="0.25">
      <c r="A36" s="4">
        <v>45029</v>
      </c>
      <c r="B36" s="5" t="s">
        <v>15</v>
      </c>
      <c r="C36" s="1">
        <v>12</v>
      </c>
      <c r="D36" s="5">
        <v>676.8</v>
      </c>
    </row>
    <row r="37" spans="1:4" x14ac:dyDescent="0.25">
      <c r="A37" s="4">
        <v>45041</v>
      </c>
      <c r="B37" s="5" t="s">
        <v>15</v>
      </c>
      <c r="C37" s="1">
        <v>12</v>
      </c>
      <c r="D37" s="5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D608-709D-4358-98F2-6C4F45453504}">
  <dimension ref="A1:J44"/>
  <sheetViews>
    <sheetView tabSelected="1" workbookViewId="0">
      <selection activeCell="J14" sqref="J14"/>
    </sheetView>
  </sheetViews>
  <sheetFormatPr baseColWidth="10" defaultRowHeight="15" x14ac:dyDescent="0.25"/>
  <cols>
    <col min="4" max="4" width="21.7109375" bestFit="1" customWidth="1"/>
    <col min="7" max="7" width="13.42578125" bestFit="1" customWidth="1"/>
  </cols>
  <sheetData>
    <row r="1" spans="1:10" x14ac:dyDescent="0.25">
      <c r="A1" s="7" t="s">
        <v>0</v>
      </c>
      <c r="B1" s="7" t="s">
        <v>1</v>
      </c>
      <c r="C1" s="7" t="s">
        <v>1</v>
      </c>
      <c r="D1" s="7" t="s">
        <v>17</v>
      </c>
    </row>
    <row r="2" spans="1:10" x14ac:dyDescent="0.25">
      <c r="A2" s="6">
        <v>44701</v>
      </c>
      <c r="B2" s="7" t="s">
        <v>2</v>
      </c>
      <c r="C2" s="7">
        <v>1</v>
      </c>
      <c r="D2" s="7">
        <v>49.23</v>
      </c>
    </row>
    <row r="3" spans="1:10" x14ac:dyDescent="0.25">
      <c r="A3" s="6">
        <v>44704</v>
      </c>
      <c r="B3" s="7" t="s">
        <v>2</v>
      </c>
      <c r="C3" s="7">
        <v>1</v>
      </c>
      <c r="D3" s="7">
        <v>58.46</v>
      </c>
    </row>
    <row r="4" spans="1:10" x14ac:dyDescent="0.25">
      <c r="A4" s="6">
        <v>44711</v>
      </c>
      <c r="B4" s="7" t="s">
        <v>2</v>
      </c>
      <c r="C4" s="7">
        <v>1</v>
      </c>
      <c r="D4" s="7">
        <v>130.25</v>
      </c>
    </row>
    <row r="5" spans="1:10" x14ac:dyDescent="0.25">
      <c r="A5" s="6">
        <v>44722</v>
      </c>
      <c r="B5" s="7" t="s">
        <v>3</v>
      </c>
      <c r="C5" s="7">
        <v>2</v>
      </c>
      <c r="D5" s="7">
        <v>75.849999999999994</v>
      </c>
      <c r="F5" t="s">
        <v>19</v>
      </c>
    </row>
    <row r="6" spans="1:10" x14ac:dyDescent="0.25">
      <c r="A6" s="6">
        <v>44725</v>
      </c>
      <c r="B6" s="7" t="s">
        <v>4</v>
      </c>
      <c r="C6" s="7">
        <v>2</v>
      </c>
      <c r="D6" s="7">
        <v>129.65</v>
      </c>
      <c r="F6" t="s">
        <v>20</v>
      </c>
    </row>
    <row r="7" spans="1:10" x14ac:dyDescent="0.25">
      <c r="A7" s="6">
        <v>44736</v>
      </c>
      <c r="B7" s="7" t="s">
        <v>3</v>
      </c>
      <c r="C7" s="7">
        <v>2</v>
      </c>
      <c r="D7" s="7">
        <v>45.94</v>
      </c>
      <c r="F7" t="s">
        <v>21</v>
      </c>
    </row>
    <row r="8" spans="1:10" x14ac:dyDescent="0.25">
      <c r="A8" s="6">
        <v>44742</v>
      </c>
      <c r="B8" s="7" t="s">
        <v>3</v>
      </c>
      <c r="C8" s="7">
        <v>2</v>
      </c>
      <c r="D8" s="7">
        <v>50.59</v>
      </c>
      <c r="F8" t="s">
        <v>22</v>
      </c>
    </row>
    <row r="9" spans="1:10" x14ac:dyDescent="0.25">
      <c r="A9" s="6">
        <v>44746</v>
      </c>
      <c r="B9" s="7" t="s">
        <v>5</v>
      </c>
      <c r="C9" s="7">
        <v>3</v>
      </c>
      <c r="D9" s="7">
        <v>33.18</v>
      </c>
    </row>
    <row r="10" spans="1:10" x14ac:dyDescent="0.25">
      <c r="A10" s="6">
        <v>44755</v>
      </c>
      <c r="B10" s="7" t="s">
        <v>5</v>
      </c>
      <c r="C10" s="7">
        <v>3</v>
      </c>
      <c r="D10" s="7">
        <v>35.229999999999997</v>
      </c>
    </row>
    <row r="11" spans="1:10" x14ac:dyDescent="0.25">
      <c r="A11" s="6">
        <v>44760</v>
      </c>
      <c r="B11" s="7" t="s">
        <v>5</v>
      </c>
      <c r="C11" s="7">
        <v>3</v>
      </c>
      <c r="D11" s="7">
        <v>32.31</v>
      </c>
      <c r="F11" t="s">
        <v>1</v>
      </c>
      <c r="G11" t="s">
        <v>34</v>
      </c>
    </row>
    <row r="12" spans="1:10" x14ac:dyDescent="0.25">
      <c r="A12" s="6">
        <v>44770</v>
      </c>
      <c r="B12" s="7" t="s">
        <v>5</v>
      </c>
      <c r="C12" s="7">
        <v>3</v>
      </c>
      <c r="D12" s="7">
        <v>23.3</v>
      </c>
      <c r="F12" t="s">
        <v>2</v>
      </c>
      <c r="G12" s="12">
        <f>AVERAGE(D2:D4)</f>
        <v>79.313333333333333</v>
      </c>
      <c r="I12" t="s">
        <v>30</v>
      </c>
      <c r="J12" s="12">
        <f>MIN(G12:G23)</f>
        <v>31.004999999999999</v>
      </c>
    </row>
    <row r="13" spans="1:10" x14ac:dyDescent="0.25">
      <c r="A13" s="6">
        <v>44778</v>
      </c>
      <c r="B13" s="7" t="s">
        <v>6</v>
      </c>
      <c r="C13" s="7">
        <v>4</v>
      </c>
      <c r="D13" s="7">
        <v>49.28</v>
      </c>
      <c r="F13" t="s">
        <v>3</v>
      </c>
      <c r="G13" s="12">
        <f>AVERAGE(D5:D8)</f>
        <v>75.507499999999993</v>
      </c>
      <c r="I13" t="s">
        <v>31</v>
      </c>
      <c r="J13" s="12">
        <f>MAX(G12:G23)</f>
        <v>79.313333333333333</v>
      </c>
    </row>
    <row r="14" spans="1:10" x14ac:dyDescent="0.25">
      <c r="A14" s="6">
        <v>44785</v>
      </c>
      <c r="B14" s="7" t="s">
        <v>6</v>
      </c>
      <c r="C14" s="7">
        <v>4</v>
      </c>
      <c r="D14" s="7">
        <v>43.94</v>
      </c>
      <c r="F14" t="s">
        <v>5</v>
      </c>
      <c r="G14" s="12">
        <f>AVERAGE(D9:D12)</f>
        <v>31.004999999999999</v>
      </c>
      <c r="I14" t="s">
        <v>32</v>
      </c>
      <c r="J14" s="12">
        <f>AVERAGE(D2:D44)</f>
        <v>49.156279069767436</v>
      </c>
    </row>
    <row r="15" spans="1:10" x14ac:dyDescent="0.25">
      <c r="A15" s="6">
        <v>44790</v>
      </c>
      <c r="B15" s="7" t="s">
        <v>6</v>
      </c>
      <c r="C15" s="7">
        <v>4</v>
      </c>
      <c r="D15" s="7">
        <v>33.79</v>
      </c>
      <c r="F15" t="s">
        <v>6</v>
      </c>
      <c r="G15" s="12">
        <f>AVERAGE(D13:D17)</f>
        <v>40.107999999999997</v>
      </c>
      <c r="I15" t="s">
        <v>33</v>
      </c>
      <c r="J15" s="12">
        <f>STDEVA(D2:D44)</f>
        <v>23.558707218882546</v>
      </c>
    </row>
    <row r="16" spans="1:10" x14ac:dyDescent="0.25">
      <c r="A16" s="6">
        <v>44797</v>
      </c>
      <c r="B16" s="7" t="s">
        <v>6</v>
      </c>
      <c r="C16" s="7">
        <v>4</v>
      </c>
      <c r="D16" s="7">
        <v>33.29</v>
      </c>
      <c r="F16" t="s">
        <v>7</v>
      </c>
      <c r="G16" s="12">
        <f>AVERAGE(D18:D21)</f>
        <v>66.709999999999994</v>
      </c>
    </row>
    <row r="17" spans="1:7" x14ac:dyDescent="0.25">
      <c r="A17" s="6">
        <v>44804</v>
      </c>
      <c r="B17" s="7" t="s">
        <v>6</v>
      </c>
      <c r="C17" s="7">
        <v>4</v>
      </c>
      <c r="D17" s="7">
        <v>40.24</v>
      </c>
      <c r="F17" t="s">
        <v>8</v>
      </c>
      <c r="G17" s="12">
        <f>AVERAGE(D22:D25)</f>
        <v>38.28</v>
      </c>
    </row>
    <row r="18" spans="1:7" x14ac:dyDescent="0.25">
      <c r="A18" s="6">
        <v>44811</v>
      </c>
      <c r="B18" s="7" t="s">
        <v>7</v>
      </c>
      <c r="C18" s="7">
        <v>5</v>
      </c>
      <c r="D18" s="7">
        <v>62.12</v>
      </c>
      <c r="F18" t="s">
        <v>10</v>
      </c>
      <c r="G18" s="12">
        <f>AVERAGE(D26:D29)</f>
        <v>48.125</v>
      </c>
    </row>
    <row r="19" spans="1:7" x14ac:dyDescent="0.25">
      <c r="A19" s="6">
        <v>44818</v>
      </c>
      <c r="B19" s="7" t="s">
        <v>7</v>
      </c>
      <c r="C19" s="7">
        <v>5</v>
      </c>
      <c r="D19" s="7">
        <v>48.51</v>
      </c>
      <c r="F19" t="s">
        <v>11</v>
      </c>
      <c r="G19" s="12">
        <f>AVERAGE(D29:D32)</f>
        <v>45.62</v>
      </c>
    </row>
    <row r="20" spans="1:7" x14ac:dyDescent="0.25">
      <c r="A20" s="6">
        <v>44825</v>
      </c>
      <c r="B20" s="7" t="s">
        <v>7</v>
      </c>
      <c r="C20" s="7">
        <v>5</v>
      </c>
      <c r="D20" s="7">
        <v>78.94</v>
      </c>
      <c r="F20" t="s">
        <v>12</v>
      </c>
      <c r="G20" s="12">
        <f>AVERAGE(D33:D35)</f>
        <v>35.113333333333337</v>
      </c>
    </row>
    <row r="21" spans="1:7" x14ac:dyDescent="0.25">
      <c r="A21" s="6">
        <v>44831</v>
      </c>
      <c r="B21" s="7" t="s">
        <v>7</v>
      </c>
      <c r="C21" s="7">
        <v>5</v>
      </c>
      <c r="D21" s="7">
        <v>77.27</v>
      </c>
      <c r="F21" t="s">
        <v>13</v>
      </c>
      <c r="G21" s="12">
        <f>AVERAGE(D36:D38)</f>
        <v>57.886666666666677</v>
      </c>
    </row>
    <row r="22" spans="1:7" x14ac:dyDescent="0.25">
      <c r="A22" s="6">
        <v>44839</v>
      </c>
      <c r="B22" s="7" t="s">
        <v>8</v>
      </c>
      <c r="C22" s="7">
        <v>6</v>
      </c>
      <c r="D22" s="7">
        <v>22.14</v>
      </c>
      <c r="F22" t="s">
        <v>29</v>
      </c>
      <c r="G22" s="12">
        <f>AVERAGE(D39:D41)</f>
        <v>34.74</v>
      </c>
    </row>
    <row r="23" spans="1:7" x14ac:dyDescent="0.25">
      <c r="A23" s="6">
        <v>44846</v>
      </c>
      <c r="B23" s="7" t="s">
        <v>8</v>
      </c>
      <c r="C23" s="7">
        <v>6</v>
      </c>
      <c r="D23" s="7">
        <v>41.76</v>
      </c>
      <c r="F23" t="s">
        <v>15</v>
      </c>
      <c r="G23" s="12">
        <f>AVERAGE(D42:D44)</f>
        <v>37.726666666666667</v>
      </c>
    </row>
    <row r="24" spans="1:7" x14ac:dyDescent="0.25">
      <c r="A24" s="6">
        <v>44853</v>
      </c>
      <c r="B24" s="7" t="s">
        <v>8</v>
      </c>
      <c r="C24" s="7">
        <v>6</v>
      </c>
      <c r="D24" s="7">
        <v>45.69</v>
      </c>
    </row>
    <row r="25" spans="1:7" x14ac:dyDescent="0.25">
      <c r="A25" s="6">
        <v>44860</v>
      </c>
      <c r="B25" s="7" t="s">
        <v>8</v>
      </c>
      <c r="C25" s="7">
        <v>6</v>
      </c>
      <c r="D25" s="7">
        <v>43.53</v>
      </c>
    </row>
    <row r="26" spans="1:7" x14ac:dyDescent="0.25">
      <c r="A26" s="7" t="s">
        <v>9</v>
      </c>
      <c r="B26" s="7" t="s">
        <v>10</v>
      </c>
      <c r="C26" s="7">
        <v>7</v>
      </c>
      <c r="D26" s="7">
        <v>59.09</v>
      </c>
    </row>
    <row r="27" spans="1:7" x14ac:dyDescent="0.25">
      <c r="A27" s="6">
        <v>44874</v>
      </c>
      <c r="B27" s="7" t="s">
        <v>10</v>
      </c>
      <c r="C27" s="7">
        <v>7</v>
      </c>
      <c r="D27" s="7">
        <v>38.130000000000003</v>
      </c>
    </row>
    <row r="28" spans="1:7" x14ac:dyDescent="0.25">
      <c r="A28" s="6">
        <v>44888</v>
      </c>
      <c r="B28" s="7" t="s">
        <v>10</v>
      </c>
      <c r="C28" s="7">
        <v>7</v>
      </c>
      <c r="D28" s="7">
        <v>53.13</v>
      </c>
    </row>
    <row r="29" spans="1:7" x14ac:dyDescent="0.25">
      <c r="A29" s="6">
        <v>44895</v>
      </c>
      <c r="B29" s="7" t="s">
        <v>10</v>
      </c>
      <c r="C29" s="7">
        <v>7</v>
      </c>
      <c r="D29" s="7">
        <v>42.15</v>
      </c>
    </row>
    <row r="30" spans="1:7" x14ac:dyDescent="0.25">
      <c r="A30" s="6">
        <v>44900</v>
      </c>
      <c r="B30" s="7" t="s">
        <v>11</v>
      </c>
      <c r="C30" s="7">
        <v>8</v>
      </c>
      <c r="D30" s="7">
        <v>48.01</v>
      </c>
    </row>
    <row r="31" spans="1:7" x14ac:dyDescent="0.25">
      <c r="A31" s="6">
        <v>44901</v>
      </c>
      <c r="B31" s="7" t="s">
        <v>11</v>
      </c>
      <c r="C31" s="7">
        <v>8</v>
      </c>
      <c r="D31" s="7">
        <v>37.979999999999997</v>
      </c>
    </row>
    <row r="32" spans="1:7" x14ac:dyDescent="0.25">
      <c r="A32" s="6">
        <v>44902</v>
      </c>
      <c r="B32" s="7" t="s">
        <v>11</v>
      </c>
      <c r="C32" s="7">
        <v>8</v>
      </c>
      <c r="D32" s="7">
        <v>54.34</v>
      </c>
    </row>
    <row r="33" spans="1:4" x14ac:dyDescent="0.25">
      <c r="A33" s="6">
        <v>44956</v>
      </c>
      <c r="B33" s="7" t="s">
        <v>12</v>
      </c>
      <c r="C33" s="7">
        <v>9</v>
      </c>
      <c r="D33" s="7">
        <v>36.42</v>
      </c>
    </row>
    <row r="34" spans="1:4" x14ac:dyDescent="0.25">
      <c r="A34" s="6">
        <v>44958</v>
      </c>
      <c r="B34" s="7" t="s">
        <v>12</v>
      </c>
      <c r="C34" s="7">
        <v>9</v>
      </c>
      <c r="D34" s="7">
        <v>29.11</v>
      </c>
    </row>
    <row r="35" spans="1:4" x14ac:dyDescent="0.25">
      <c r="A35" s="8">
        <v>44959</v>
      </c>
      <c r="B35" s="9" t="s">
        <v>12</v>
      </c>
      <c r="C35" s="7">
        <v>9</v>
      </c>
      <c r="D35" s="9">
        <v>39.81</v>
      </c>
    </row>
    <row r="36" spans="1:4" x14ac:dyDescent="0.25">
      <c r="A36" s="4">
        <v>44971</v>
      </c>
      <c r="B36" s="5" t="s">
        <v>13</v>
      </c>
      <c r="C36" s="9">
        <v>10</v>
      </c>
      <c r="D36" s="10">
        <v>95.44</v>
      </c>
    </row>
    <row r="37" spans="1:4" x14ac:dyDescent="0.25">
      <c r="A37" s="4">
        <v>44972</v>
      </c>
      <c r="B37" s="5" t="s">
        <v>13</v>
      </c>
      <c r="C37" s="9">
        <v>10</v>
      </c>
      <c r="D37" s="10">
        <v>36.049999999999997</v>
      </c>
    </row>
    <row r="38" spans="1:4" x14ac:dyDescent="0.25">
      <c r="A38" s="4">
        <v>45009</v>
      </c>
      <c r="B38" s="5" t="s">
        <v>13</v>
      </c>
      <c r="C38" s="9">
        <v>10</v>
      </c>
      <c r="D38" s="10">
        <v>42.17</v>
      </c>
    </row>
    <row r="39" spans="1:4" x14ac:dyDescent="0.25">
      <c r="A39" s="4">
        <v>45029</v>
      </c>
      <c r="B39" s="5" t="s">
        <v>14</v>
      </c>
      <c r="C39" s="9">
        <v>11</v>
      </c>
      <c r="D39" s="10">
        <v>34.01</v>
      </c>
    </row>
    <row r="40" spans="1:4" x14ac:dyDescent="0.25">
      <c r="A40" s="4">
        <v>45005</v>
      </c>
      <c r="B40" s="5" t="s">
        <v>14</v>
      </c>
      <c r="C40" s="9">
        <v>11</v>
      </c>
      <c r="D40" s="10">
        <v>23.44</v>
      </c>
    </row>
    <row r="41" spans="1:4" x14ac:dyDescent="0.25">
      <c r="A41" s="4">
        <v>45012</v>
      </c>
      <c r="B41" s="5" t="s">
        <v>14</v>
      </c>
      <c r="C41" s="9">
        <v>11</v>
      </c>
      <c r="D41" s="10">
        <v>46.77</v>
      </c>
    </row>
    <row r="42" spans="1:4" x14ac:dyDescent="0.25">
      <c r="A42" s="4">
        <v>45020</v>
      </c>
      <c r="B42" s="5" t="s">
        <v>15</v>
      </c>
      <c r="C42" s="9">
        <v>12</v>
      </c>
      <c r="D42" s="10">
        <v>37.54</v>
      </c>
    </row>
    <row r="43" spans="1:4" x14ac:dyDescent="0.25">
      <c r="A43" s="4">
        <v>45029</v>
      </c>
      <c r="B43" s="5" t="s">
        <v>15</v>
      </c>
      <c r="C43" s="9">
        <v>12</v>
      </c>
      <c r="D43" s="10">
        <v>33.79</v>
      </c>
    </row>
    <row r="44" spans="1:4" x14ac:dyDescent="0.25">
      <c r="A44" s="4">
        <v>45041</v>
      </c>
      <c r="B44" s="5" t="s">
        <v>15</v>
      </c>
      <c r="C44" s="9">
        <v>12</v>
      </c>
      <c r="D44" s="10">
        <v>41.85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483A-1133-4CF8-B028-A6E3ED014149}">
  <dimension ref="A1:E12"/>
  <sheetViews>
    <sheetView workbookViewId="0">
      <selection activeCell="E5" sqref="E5"/>
    </sheetView>
  </sheetViews>
  <sheetFormatPr baseColWidth="10" defaultRowHeight="15" x14ac:dyDescent="0.25"/>
  <sheetData>
    <row r="1" spans="1:5" x14ac:dyDescent="0.25">
      <c r="A1" s="18" t="s">
        <v>1</v>
      </c>
      <c r="B1" s="18"/>
      <c r="C1" s="19" t="s">
        <v>18</v>
      </c>
    </row>
    <row r="2" spans="1:5" x14ac:dyDescent="0.25">
      <c r="A2" s="18"/>
      <c r="B2" s="18"/>
      <c r="C2" s="19"/>
    </row>
    <row r="3" spans="1:5" x14ac:dyDescent="0.25">
      <c r="A3" s="20" t="s">
        <v>12</v>
      </c>
      <c r="B3" s="21"/>
      <c r="C3" s="14">
        <v>1769</v>
      </c>
    </row>
    <row r="4" spans="1:5" x14ac:dyDescent="0.25">
      <c r="A4" s="16" t="s">
        <v>13</v>
      </c>
      <c r="B4" s="17"/>
      <c r="C4" s="15">
        <v>1716</v>
      </c>
    </row>
    <row r="5" spans="1:5" x14ac:dyDescent="0.25">
      <c r="A5" s="16" t="s">
        <v>14</v>
      </c>
      <c r="B5" s="17"/>
      <c r="C5" s="15">
        <v>1624</v>
      </c>
      <c r="E5" s="12">
        <f>AVERAGE(C3:C12)</f>
        <v>1694.8</v>
      </c>
    </row>
    <row r="6" spans="1:5" x14ac:dyDescent="0.25">
      <c r="A6" s="16" t="s">
        <v>15</v>
      </c>
      <c r="B6" s="17"/>
      <c r="C6" s="15">
        <v>1884</v>
      </c>
      <c r="E6" s="12">
        <f>STDEVA(C3:C12)</f>
        <v>80.944150842142719</v>
      </c>
    </row>
    <row r="7" spans="1:5" x14ac:dyDescent="0.25">
      <c r="A7" s="16" t="s">
        <v>2</v>
      </c>
      <c r="B7" s="17"/>
      <c r="C7" s="15">
        <v>1680</v>
      </c>
      <c r="E7" s="12"/>
    </row>
    <row r="8" spans="1:5" x14ac:dyDescent="0.25">
      <c r="A8" s="16" t="s">
        <v>3</v>
      </c>
      <c r="B8" s="17"/>
      <c r="C8" s="15">
        <v>1687</v>
      </c>
    </row>
    <row r="9" spans="1:5" x14ac:dyDescent="0.25">
      <c r="A9" s="16" t="s">
        <v>5</v>
      </c>
      <c r="B9" s="17"/>
      <c r="C9" s="15">
        <v>1603</v>
      </c>
    </row>
    <row r="10" spans="1:5" x14ac:dyDescent="0.25">
      <c r="A10" s="16" t="s">
        <v>6</v>
      </c>
      <c r="B10" s="17"/>
      <c r="C10" s="15">
        <v>1671</v>
      </c>
    </row>
    <row r="11" spans="1:5" x14ac:dyDescent="0.25">
      <c r="A11" s="16" t="s">
        <v>7</v>
      </c>
      <c r="B11" s="17"/>
      <c r="C11" s="15">
        <v>1651</v>
      </c>
    </row>
    <row r="12" spans="1:5" x14ac:dyDescent="0.25">
      <c r="A12" s="16" t="s">
        <v>8</v>
      </c>
      <c r="B12" s="17"/>
      <c r="C12" s="15">
        <v>1663</v>
      </c>
    </row>
  </sheetData>
  <mergeCells count="12">
    <mergeCell ref="A12:B12"/>
    <mergeCell ref="A1:B2"/>
    <mergeCell ref="C1:C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2DF3-C3F3-4CBD-B199-481022B10591}">
  <dimension ref="A1:A12"/>
  <sheetViews>
    <sheetView workbookViewId="0">
      <selection activeCell="E28" sqref="E28"/>
    </sheetView>
  </sheetViews>
  <sheetFormatPr baseColWidth="10" defaultRowHeight="15" x14ac:dyDescent="0.25"/>
  <cols>
    <col min="1" max="1" width="54" customWidth="1"/>
    <col min="2" max="2" width="25.42578125" bestFit="1" customWidth="1"/>
  </cols>
  <sheetData>
    <row r="1" spans="1:1" x14ac:dyDescent="0.25">
      <c r="A1" s="11" t="s">
        <v>23</v>
      </c>
    </row>
    <row r="3" spans="1:1" x14ac:dyDescent="0.25">
      <c r="A3" t="s">
        <v>25</v>
      </c>
    </row>
    <row r="4" spans="1:1" x14ac:dyDescent="0.25">
      <c r="A4" t="s">
        <v>24</v>
      </c>
    </row>
    <row r="5" spans="1:1" x14ac:dyDescent="0.25">
      <c r="A5" t="s">
        <v>28</v>
      </c>
    </row>
    <row r="7" spans="1:1" x14ac:dyDescent="0.25">
      <c r="A7" t="s">
        <v>26</v>
      </c>
    </row>
    <row r="8" spans="1:1" x14ac:dyDescent="0.25">
      <c r="A8" t="s">
        <v>27</v>
      </c>
    </row>
    <row r="12" spans="1:1" x14ac:dyDescent="0.25">
      <c r="A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Agua</vt:lpstr>
      <vt:lpstr>Boñiga</vt:lpstr>
      <vt:lpstr>Consumo eléctrico 2023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MARIA JOSE RODRIGUEZ VASQUEZ</cp:lastModifiedBy>
  <dcterms:created xsi:type="dcterms:W3CDTF">2024-06-03T14:02:11Z</dcterms:created>
  <dcterms:modified xsi:type="dcterms:W3CDTF">2025-04-28T17:04:34Z</dcterms:modified>
</cp:coreProperties>
</file>